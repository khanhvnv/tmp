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workbookPr/>
  <bookViews>
    <workbookView xWindow="10230" yWindow="-15" windowWidth="10275" windowHeight="8310" tabRatio="631" activeTab="1"/>
  </bookViews>
  <sheets>
    <sheet name="Record of Change" sheetId="4" r:id="rId1"/>
    <sheet name="Introduction" sheetId="5" r:id="rId2"/>
    <sheet name="Defect list" sheetId="6" r:id="rId3"/>
    <sheet name="Test report" sheetId="7" r:id="rId4"/>
    <sheet name="Defect Analysis Report" sheetId="8" r:id="rId5"/>
    <sheet name="Summary" sheetId="9" r:id="rId6"/>
    <sheet name="DataList" sheetId="10" r:id="rId7"/>
  </sheets>
  <externalReferences>
    <externalReference r:id="rId8"/>
    <externalReference r:id="rId9"/>
  </externalReferences>
  <definedNames>
    <definedName name="abc" localSheetId="0">#REF!</definedName>
    <definedName name="abc">#REF!</definedName>
    <definedName name="Check_inputed_mail_address" localSheetId="0">#REF!</definedName>
    <definedName name="Check_inputed_mail_address">#REF!</definedName>
    <definedName name="CS_IT_1.1_001" localSheetId="0">#REF!</definedName>
    <definedName name="CS_IT_1.1_001">#REF!</definedName>
    <definedName name="CS_IT_1.1_002" localSheetId="0">#REF!</definedName>
    <definedName name="CS_IT_1.1_002">#REF!</definedName>
    <definedName name="CS_IT_1.1_003" localSheetId="0">#REF!</definedName>
    <definedName name="CS_IT_1.1_003">#REF!</definedName>
    <definedName name="CS_IT_1.1_004" localSheetId="0">#REF!</definedName>
    <definedName name="CS_IT_1.1_004">#REF!</definedName>
    <definedName name="Evaluation">#REF!</definedName>
    <definedName name="JaEnNickname" localSheetId="0">#REF!</definedName>
    <definedName name="JaEnNickname">#REF!</definedName>
    <definedName name="Mail_Magazine" localSheetId="0">#REF!</definedName>
    <definedName name="Mail_Magazine">#REF!</definedName>
    <definedName name="project_code" localSheetId="0">#REF!</definedName>
    <definedName name="project_code">#REF!</definedName>
    <definedName name="Project_Name" localSheetId="0">#REF!</definedName>
    <definedName name="ProjectName" localSheetId="0">'[1]CI report'!#REF!</definedName>
    <definedName name="ProjectName">'[2]Version 1'!#REF!</definedName>
    <definedName name="Result_CS_IT_1.1_001" localSheetId="0">#REF!</definedName>
    <definedName name="Result_CS_IT_1.1_001">#REF!</definedName>
    <definedName name="Result_CS_IT_1.1_002" localSheetId="0">#REF!</definedName>
    <definedName name="Result_CS_IT_1.1_002">#REF!</definedName>
    <definedName name="Result_CS_IT_1.1_003" localSheetId="0">#REF!</definedName>
    <definedName name="Result_CS_IT_1.1_003">#REF!</definedName>
    <definedName name="Result_CS_IT_1.1_004" localSheetId="0">#REF!</definedName>
    <definedName name="Result_CS_IT_1.1_004">#REF!</definedName>
    <definedName name="safa" localSheetId="0">#REF!</definedName>
    <definedName name="safa">#REF!</definedName>
    <definedName name="TEst" localSheetId="0">#REF!</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8" l="1"/>
  <c r="C11" i="8"/>
  <c r="C12" i="8"/>
  <c r="C13" i="8"/>
  <c r="C14" i="8"/>
  <c r="C15" i="8"/>
  <c r="C16" i="8"/>
  <c r="C17" i="8"/>
  <c r="C9" i="8"/>
  <c r="C5" i="9"/>
  <c r="C6" i="9"/>
  <c r="C7" i="9"/>
  <c r="C8" i="9"/>
  <c r="C9" i="9"/>
  <c r="D14" i="8" s="1"/>
  <c r="C10" i="9"/>
  <c r="C11" i="9"/>
  <c r="D16" i="8" s="1"/>
  <c r="C12" i="9"/>
  <c r="D5" i="9"/>
  <c r="D6" i="9"/>
  <c r="D7" i="9"/>
  <c r="D8" i="9"/>
  <c r="D9" i="9"/>
  <c r="D10" i="9"/>
  <c r="D11" i="9"/>
  <c r="D12" i="9"/>
  <c r="O5" i="9"/>
  <c r="O6" i="9"/>
  <c r="O7" i="9"/>
  <c r="O8" i="9"/>
  <c r="O9" i="9"/>
  <c r="O10" i="9"/>
  <c r="O11" i="9"/>
  <c r="O12" i="9"/>
  <c r="O13" i="9"/>
  <c r="O14" i="9"/>
  <c r="O15" i="9"/>
  <c r="O16" i="9"/>
  <c r="O17" i="9"/>
  <c r="O18" i="9"/>
  <c r="O19" i="9"/>
  <c r="M5" i="9"/>
  <c r="M6" i="9"/>
  <c r="M4" i="9"/>
  <c r="L5" i="9"/>
  <c r="L6" i="9"/>
  <c r="L4" i="9"/>
  <c r="J6" i="9"/>
  <c r="J5" i="9"/>
  <c r="J4" i="9"/>
  <c r="G5" i="9"/>
  <c r="G4" i="9"/>
  <c r="E5" i="9"/>
  <c r="E6" i="9"/>
  <c r="E7" i="9"/>
  <c r="E8" i="9"/>
  <c r="E9" i="9"/>
  <c r="E10" i="9"/>
  <c r="E11" i="9"/>
  <c r="E12" i="9"/>
  <c r="E4" i="9"/>
  <c r="E13" i="9" s="1"/>
  <c r="R5" i="9"/>
  <c r="U5" i="9" s="1"/>
  <c r="R6" i="9"/>
  <c r="R7" i="9"/>
  <c r="U7" i="9" s="1"/>
  <c r="D131" i="8" s="1"/>
  <c r="R8" i="9"/>
  <c r="R9" i="9"/>
  <c r="U9" i="9" s="1"/>
  <c r="R4" i="9"/>
  <c r="U4" i="9" s="1"/>
  <c r="N5" i="9"/>
  <c r="Q5" i="9" s="1"/>
  <c r="N6" i="9"/>
  <c r="N7" i="9"/>
  <c r="Q7" i="9" s="1"/>
  <c r="N8" i="9"/>
  <c r="N9" i="9"/>
  <c r="Q9" i="9" s="1"/>
  <c r="N10" i="9"/>
  <c r="N11" i="9"/>
  <c r="Q11" i="9" s="1"/>
  <c r="N12" i="9"/>
  <c r="N13" i="9"/>
  <c r="Q13" i="9" s="1"/>
  <c r="N14" i="9"/>
  <c r="N15" i="9"/>
  <c r="Q15" i="9" s="1"/>
  <c r="N16" i="9"/>
  <c r="N17" i="9"/>
  <c r="Q17" i="9" s="1"/>
  <c r="N18" i="9"/>
  <c r="N19" i="9"/>
  <c r="Q19" i="9" s="1"/>
  <c r="N4" i="9"/>
  <c r="P4" i="9" s="1"/>
  <c r="F5" i="9"/>
  <c r="F4" i="9"/>
  <c r="C39" i="8" s="1"/>
  <c r="B5" i="9"/>
  <c r="B6" i="9"/>
  <c r="B7" i="9"/>
  <c r="D12" i="8" s="1"/>
  <c r="B8" i="9"/>
  <c r="B9" i="9"/>
  <c r="B10" i="9"/>
  <c r="B11" i="9"/>
  <c r="B12" i="9"/>
  <c r="B4" i="9"/>
  <c r="U6" i="9"/>
  <c r="U8" i="9"/>
  <c r="T5" i="9"/>
  <c r="T6" i="9"/>
  <c r="T7" i="9"/>
  <c r="T8" i="9"/>
  <c r="T9" i="9"/>
  <c r="S5" i="9"/>
  <c r="S6" i="9"/>
  <c r="D130" i="8" s="1"/>
  <c r="S7" i="9"/>
  <c r="S8" i="9"/>
  <c r="S9" i="9"/>
  <c r="Q6" i="9"/>
  <c r="Q8" i="9"/>
  <c r="Q10" i="9"/>
  <c r="Q12" i="9"/>
  <c r="Q14" i="9"/>
  <c r="Q16" i="9"/>
  <c r="Q18" i="9"/>
  <c r="Q4" i="9"/>
  <c r="P6" i="9"/>
  <c r="P8" i="9"/>
  <c r="P10" i="9"/>
  <c r="P12" i="9"/>
  <c r="D106" i="8" s="1"/>
  <c r="P14" i="9"/>
  <c r="P16" i="9"/>
  <c r="D110" i="8" s="1"/>
  <c r="P18" i="9"/>
  <c r="P20" i="9"/>
  <c r="C127" i="8"/>
  <c r="D102" i="8"/>
  <c r="D104" i="8"/>
  <c r="C97" i="8"/>
  <c r="C67" i="8"/>
  <c r="C38" i="8"/>
  <c r="C8" i="8"/>
  <c r="O4" i="9"/>
  <c r="K4" i="9"/>
  <c r="K5" i="9"/>
  <c r="I5" i="9"/>
  <c r="I4" i="9"/>
  <c r="H5" i="9"/>
  <c r="H4" i="9"/>
  <c r="D11" i="8"/>
  <c r="D4" i="9"/>
  <c r="C69" i="8"/>
  <c r="C68" i="8"/>
  <c r="D17" i="8"/>
  <c r="D15" i="8"/>
  <c r="D13" i="8"/>
  <c r="B41" i="7"/>
  <c r="D54" i="5"/>
  <c r="C54" i="5"/>
  <c r="F54" i="5"/>
  <c r="E54" i="5"/>
  <c r="C4" i="9"/>
  <c r="E47" i="5"/>
  <c r="E46" i="5"/>
  <c r="E45" i="5"/>
  <c r="E44" i="5"/>
  <c r="B86" i="7"/>
  <c r="B87" i="7" s="1"/>
  <c r="B88" i="7" s="1"/>
  <c r="B89" i="7" s="1"/>
  <c r="B90" i="7" s="1"/>
  <c r="B91" i="7" s="1"/>
  <c r="B92" i="7" s="1"/>
  <c r="B93" i="7" s="1"/>
  <c r="B94" i="7" s="1"/>
  <c r="D108" i="8" l="1"/>
  <c r="M7" i="9"/>
  <c r="L7" i="9"/>
  <c r="D69" i="8"/>
  <c r="D68" i="8"/>
  <c r="C70" i="8"/>
  <c r="K6" i="9"/>
  <c r="D70" i="8" s="1"/>
  <c r="G6" i="9"/>
  <c r="D9" i="8"/>
  <c r="T4" i="9"/>
  <c r="T10" i="9" s="1"/>
  <c r="S4" i="9"/>
  <c r="S10" i="9" s="1"/>
  <c r="P19" i="9"/>
  <c r="P15" i="9"/>
  <c r="D109" i="8" s="1"/>
  <c r="P11" i="9"/>
  <c r="D105" i="8" s="1"/>
  <c r="P7" i="9"/>
  <c r="D100" i="8"/>
  <c r="P17" i="9"/>
  <c r="D111" i="8" s="1"/>
  <c r="P13" i="9"/>
  <c r="D107" i="8" s="1"/>
  <c r="P9" i="9"/>
  <c r="D103" i="8" s="1"/>
  <c r="P5" i="9"/>
  <c r="D99" i="8" s="1"/>
  <c r="D101" i="8"/>
  <c r="Q20" i="9"/>
  <c r="D13" i="9"/>
  <c r="U10" i="9"/>
  <c r="D132" i="8"/>
  <c r="D133" i="8"/>
  <c r="D129" i="8"/>
  <c r="D112" i="8"/>
  <c r="D113" i="8"/>
  <c r="D98" i="8"/>
  <c r="O20" i="9"/>
  <c r="D40" i="8"/>
  <c r="I6" i="9"/>
  <c r="D39" i="8"/>
  <c r="H6" i="9"/>
  <c r="G7" i="9" s="1"/>
  <c r="C13" i="9"/>
  <c r="F47" i="5"/>
  <c r="F44" i="5"/>
  <c r="F46" i="5"/>
  <c r="F45" i="5"/>
  <c r="O49" i="7" l="1"/>
  <c r="O57" i="7"/>
  <c r="O61" i="7"/>
  <c r="N71" i="7"/>
  <c r="O54" i="7"/>
  <c r="O66" i="7"/>
  <c r="O48" i="7"/>
  <c r="N52" i="7"/>
  <c r="N64" i="7"/>
  <c r="N68" i="7"/>
  <c r="O71" i="7"/>
  <c r="N49" i="7"/>
  <c r="N57" i="7"/>
  <c r="N61" i="7"/>
  <c r="O52" i="7"/>
  <c r="O64" i="7"/>
  <c r="O68" i="7"/>
  <c r="N54" i="7"/>
  <c r="N66" i="7"/>
  <c r="N48" i="7"/>
  <c r="O53" i="7"/>
  <c r="O65" i="7"/>
  <c r="N60" i="7"/>
  <c r="O67" i="7"/>
  <c r="N53" i="7"/>
  <c r="N65" i="7"/>
  <c r="N67" i="7"/>
  <c r="O60" i="7"/>
  <c r="O69" i="7"/>
  <c r="O73" i="7"/>
  <c r="N51" i="7"/>
  <c r="N55" i="7"/>
  <c r="O58" i="7"/>
  <c r="O62" i="7"/>
  <c r="O70" i="7"/>
  <c r="N56" i="7"/>
  <c r="N72" i="7"/>
  <c r="N63" i="7"/>
  <c r="O51" i="7"/>
  <c r="O55" i="7"/>
  <c r="O59" i="7"/>
  <c r="O63" i="7"/>
  <c r="N69" i="7"/>
  <c r="N73" i="7"/>
  <c r="O56" i="7"/>
  <c r="O72" i="7"/>
  <c r="N58" i="7"/>
  <c r="N62" i="7"/>
  <c r="N70" i="7"/>
  <c r="N59" i="7"/>
  <c r="O50" i="7"/>
  <c r="N50" i="7"/>
  <c r="D71" i="8"/>
  <c r="K7" i="9"/>
  <c r="K8" i="9" s="1"/>
  <c r="S11" i="9"/>
  <c r="D128" i="8"/>
  <c r="D134" i="8" s="1"/>
  <c r="D114" i="8"/>
  <c r="D41" i="8"/>
  <c r="D10" i="8"/>
  <c r="D18" i="8" s="1"/>
  <c r="C14" i="9"/>
  <c r="O21" i="9"/>
  <c r="G54" i="5"/>
  <c r="C41" i="7" l="1"/>
  <c r="D41" i="7"/>
</calcChain>
</file>

<file path=xl/comments1.xml><?xml version="1.0" encoding="utf-8"?>
<comments xmlns="http://schemas.openxmlformats.org/spreadsheetml/2006/main">
  <authors>
    <author>Vinh Pham Phu</author>
  </authors>
  <commentList>
    <comment ref="A72" authorId="0">
      <text>
        <r>
          <rPr>
            <b/>
            <sz val="9"/>
            <color indexed="81"/>
            <rFont val="Tahoma"/>
            <family val="2"/>
          </rPr>
          <t>Vinh Pham Phu:</t>
        </r>
        <r>
          <rPr>
            <sz val="9"/>
            <color indexed="81"/>
            <rFont val="Tahoma"/>
            <family val="2"/>
          </rPr>
          <t xml:space="preserve">
Be reminded to Copy the last row and Insert Copied Cells when you want to add more Function / Module … it will keep the current formula.</t>
        </r>
      </text>
    </comment>
    <comment ref="A73" authorId="0">
      <text>
        <r>
          <rPr>
            <b/>
            <sz val="9"/>
            <color indexed="81"/>
            <rFont val="Tahoma"/>
            <family val="2"/>
          </rPr>
          <t>Vinh Pham Phu:</t>
        </r>
        <r>
          <rPr>
            <sz val="9"/>
            <color indexed="81"/>
            <rFont val="Tahoma"/>
            <family val="2"/>
          </rPr>
          <t xml:space="preserve">
Be reminded to Copy the last row and Insert Copied Cells when you want to add more Function / Module … it will keep the current formula.</t>
        </r>
      </text>
    </comment>
  </commentList>
</comments>
</file>

<file path=xl/comments2.xml><?xml version="1.0" encoding="utf-8"?>
<comments xmlns="http://schemas.openxmlformats.org/spreadsheetml/2006/main">
  <authors>
    <author>Hai Pham Hoang</author>
  </authors>
  <commentList>
    <comment ref="B3" authorId="0">
      <text>
        <r>
          <rPr>
            <b/>
            <sz val="9"/>
            <color indexed="81"/>
            <rFont val="Tahoma"/>
            <family val="2"/>
          </rPr>
          <t>Hai Pham Hoang:</t>
        </r>
        <r>
          <rPr>
            <sz val="9"/>
            <color indexed="81"/>
            <rFont val="Tahoma"/>
            <family val="2"/>
          </rPr>
          <t xml:space="preserve">
functionality error if something that you expect it to do is hard, awkward, confusing, or impossible</t>
        </r>
      </text>
    </comment>
    <comment ref="B4" authorId="0">
      <text>
        <r>
          <rPr>
            <b/>
            <sz val="9"/>
            <color indexed="81"/>
            <rFont val="Tahoma"/>
            <family val="2"/>
          </rPr>
          <t>Hai Pham Hoang:</t>
        </r>
        <r>
          <rPr>
            <sz val="9"/>
            <color indexed="81"/>
            <rFont val="Tahoma"/>
            <family val="2"/>
          </rPr>
          <t xml:space="preserve">
Error, comment found during review documents such as installation guide, test plan, test strategy, test cases, ...</t>
        </r>
      </text>
    </comment>
  </commentList>
</comments>
</file>

<file path=xl/sharedStrings.xml><?xml version="1.0" encoding="utf-8"?>
<sst xmlns="http://schemas.openxmlformats.org/spreadsheetml/2006/main" count="1223" uniqueCount="465">
  <si>
    <t>Version</t>
  </si>
  <si>
    <t xml:space="preserve">Date </t>
  </si>
  <si>
    <t>Signature</t>
  </si>
  <si>
    <t>Role</t>
  </si>
  <si>
    <t>Name</t>
  </si>
  <si>
    <t>Distribution List</t>
  </si>
  <si>
    <t>Create</t>
  </si>
  <si>
    <t>Details</t>
  </si>
  <si>
    <t>Date</t>
  </si>
  <si>
    <t>Document Version History</t>
  </si>
  <si>
    <t>Location</t>
  </si>
  <si>
    <t>File Name</t>
  </si>
  <si>
    <t>Document Location</t>
  </si>
  <si>
    <t>&lt;&lt;Client Logo&gt;&gt;</t>
  </si>
  <si>
    <t>&lt;&lt;Client Name&gt;&gt;</t>
  </si>
  <si>
    <t>&lt;&lt;Project Name&gt;&gt;</t>
  </si>
  <si>
    <t>Document History</t>
  </si>
  <si>
    <t>Approvers</t>
  </si>
  <si>
    <t>Ly Vo</t>
  </si>
  <si>
    <r>
      <t xml:space="preserve">Security Classification: </t>
    </r>
    <r>
      <rPr>
        <b/>
        <sz val="11"/>
        <rFont val="Arial"/>
        <family val="2"/>
      </rPr>
      <t>Confidential</t>
    </r>
  </si>
  <si>
    <t>Process Asset Library</t>
  </si>
  <si>
    <t>HNVN_SD_008_13_Template_Test_Report</t>
  </si>
  <si>
    <t>Nhan Nguyen</t>
  </si>
  <si>
    <t>Oanh Nguyen</t>
  </si>
  <si>
    <t>Change format</t>
  </si>
  <si>
    <t>Hai Pham</t>
  </si>
  <si>
    <t>Add sheet Defect Analysis Report</t>
  </si>
  <si>
    <t>QAM</t>
  </si>
  <si>
    <t>Signed</t>
  </si>
  <si>
    <t>QCM</t>
  </si>
  <si>
    <t>Defect Type</t>
  </si>
  <si>
    <t>Detected Time</t>
  </si>
  <si>
    <t>Detected by</t>
  </si>
  <si>
    <t>Project Component</t>
  </si>
  <si>
    <t>Defect Root Cause</t>
  </si>
  <si>
    <t xml:space="preserve">Root Cause Category Definition </t>
  </si>
  <si>
    <t>Functionality</t>
  </si>
  <si>
    <t>Pre-release</t>
  </si>
  <si>
    <t>Reviewer</t>
  </si>
  <si>
    <t>CategoryDetails</t>
  </si>
  <si>
    <t>Code Error</t>
  </si>
  <si>
    <t>The code differs from the documented design or requirements or there was a syntactic or structural error introduced during coding</t>
  </si>
  <si>
    <t>Post-release</t>
  </si>
  <si>
    <t>QC</t>
  </si>
  <si>
    <t>IndicatorDetails</t>
  </si>
  <si>
    <t xml:space="preserve">Requirement </t>
  </si>
  <si>
    <t>The defect was caused by one of following reasons:
- User needs/Acceptance criteria are not yet fully specifies
- User needs/ Acceptance criteria is not enough clear or  to be actionable, testable
- User needs/ Acceptance criteria are not consistent or conflict 
-  Incomplete or ambiguous requirement with the resulting assumption differing from the intended outcome</t>
  </si>
  <si>
    <t xml:space="preserve"> GUI</t>
  </si>
  <si>
    <t>Client</t>
  </si>
  <si>
    <t>ListOfCategory</t>
  </si>
  <si>
    <t>Configuration Error</t>
  </si>
  <si>
    <t>The defect was caused by incorrectly configured environment or data</t>
  </si>
  <si>
    <t>ListOfMyProjects</t>
  </si>
  <si>
    <t>Design Error</t>
  </si>
  <si>
    <t>The design differs from the stated requirements or is ambiguous or incomplete resulting in assumptions</t>
  </si>
  <si>
    <t>ListOfUsers</t>
  </si>
  <si>
    <t>Existing bug</t>
  </si>
  <si>
    <t>The defect is existing behaviour in the current software (the bug is not created by our internal team).</t>
  </si>
  <si>
    <t>ManageMA</t>
  </si>
  <si>
    <t>Unknown</t>
  </si>
  <si>
    <t>bug need to be analyzed by team.</t>
  </si>
  <si>
    <t> Usability</t>
  </si>
  <si>
    <t>MAPlanDetails</t>
  </si>
  <si>
    <t>Others</t>
  </si>
  <si>
    <t>MAPlanUpdate</t>
  </si>
  <si>
    <t>Architecture</t>
  </si>
  <si>
    <t>MAPlanWaitingForReview</t>
  </si>
  <si>
    <t>Project Details</t>
  </si>
  <si>
    <t>Role&amp;Permission</t>
  </si>
  <si>
    <t>UserDetails</t>
  </si>
  <si>
    <t>ViewChange</t>
  </si>
  <si>
    <t>ViewChanges</t>
  </si>
  <si>
    <t>ViewMAPlan</t>
  </si>
  <si>
    <t>WaitingForApproveMAPlan</t>
  </si>
  <si>
    <t>Status</t>
  </si>
  <si>
    <t>Open</t>
  </si>
  <si>
    <t>Fixing</t>
  </si>
  <si>
    <t>Closed</t>
  </si>
  <si>
    <t>Subtotal</t>
  </si>
  <si>
    <t>Total</t>
  </si>
  <si>
    <t>#</t>
  </si>
  <si>
    <t>4. Summary Defect by Component</t>
  </si>
  <si>
    <t>5. Summary Defect by Root Cause</t>
  </si>
  <si>
    <t>&lt;Project Name&gt;</t>
  </si>
  <si>
    <t>RAG Status</t>
  </si>
  <si>
    <t>Schedule Status</t>
  </si>
  <si>
    <t>Creator</t>
  </si>
  <si>
    <t>&lt;Date when this test report is updated&gt;</t>
  </si>
  <si>
    <t>Milestone list</t>
  </si>
  <si>
    <t>Milestone Name</t>
  </si>
  <si>
    <t>Started date</t>
  </si>
  <si>
    <t>End date</t>
  </si>
  <si>
    <t>Comment</t>
  </si>
  <si>
    <t>Release 1</t>
  </si>
  <si>
    <t>Release 2</t>
  </si>
  <si>
    <t>Risk List</t>
  </si>
  <si>
    <t>Testing Risks</t>
  </si>
  <si>
    <t>Mitigation Strategy</t>
  </si>
  <si>
    <t>Contingency (Risk is realized)</t>
  </si>
  <si>
    <t>Created Date</t>
  </si>
  <si>
    <t>&lt;&lt;Risk which happened in this project&gt;&gt;</t>
  </si>
  <si>
    <t>&lt;&lt;propose an action to solve this risk&gt;&gt;</t>
  </si>
  <si>
    <t>&lt;&lt;The action needs when the risk is become to issue&gt;&gt;</t>
  </si>
  <si>
    <t>Issue List</t>
  </si>
  <si>
    <t>Issue list</t>
  </si>
  <si>
    <t>Actions needed</t>
  </si>
  <si>
    <t>Created date</t>
  </si>
  <si>
    <t>Closed date</t>
  </si>
  <si>
    <t>Impact</t>
  </si>
  <si>
    <t>&lt;&lt;Issue which happened in the project&gt;&gt;</t>
  </si>
  <si>
    <t>&lt;&lt;propose an action to solve this issue&gt;&gt;
or 
&lt;&lt;Action to solve this issue&gt;&gt;</t>
  </si>
  <si>
    <t>Testing activity progress</t>
  </si>
  <si>
    <t>Summary Information</t>
  </si>
  <si>
    <t>% Writing TCs</t>
  </si>
  <si>
    <t>% Test Coverage</t>
  </si>
  <si>
    <t>% Successful Coverage</t>
  </si>
  <si>
    <t>Defect Density</t>
  </si>
  <si>
    <t>% Re-Opened bug</t>
  </si>
  <si>
    <t>Detail information</t>
  </si>
  <si>
    <t>No.</t>
  </si>
  <si>
    <t>Function/Module Name</t>
  </si>
  <si>
    <t>Requirement Version</t>
  </si>
  <si>
    <t>Release</t>
  </si>
  <si>
    <t>Complexity</t>
  </si>
  <si>
    <t>Latest Build Version</t>
  </si>
  <si>
    <t>No. of cases of each TC</t>
  </si>
  <si>
    <t>Test Result</t>
  </si>
  <si>
    <t>Passed</t>
  </si>
  <si>
    <t>Failed</t>
  </si>
  <si>
    <t>N/A</t>
  </si>
  <si>
    <t>Not Run</t>
  </si>
  <si>
    <t>Blocked</t>
  </si>
  <si>
    <t>Passed in previous builds</t>
  </si>
  <si>
    <t xml:space="preserve">Completed Writing TCs </t>
  </si>
  <si>
    <t>% Test successful coverage</t>
  </si>
  <si>
    <t xml:space="preserve">GUI Test </t>
  </si>
  <si>
    <t>release1</t>
  </si>
  <si>
    <t>Normal</t>
  </si>
  <si>
    <t>Build version XXXX</t>
  </si>
  <si>
    <t>Yes</t>
  </si>
  <si>
    <t xml:space="preserve">End2End Test </t>
  </si>
  <si>
    <t>No</t>
  </si>
  <si>
    <t xml:space="preserve">Regression Test </t>
  </si>
  <si>
    <t>Very Complex</t>
  </si>
  <si>
    <t>Login</t>
  </si>
  <si>
    <t>Version XXXX</t>
  </si>
  <si>
    <t>Simple</t>
  </si>
  <si>
    <t>build01.01</t>
  </si>
  <si>
    <t>user</t>
  </si>
  <si>
    <t>Function / Module …</t>
  </si>
  <si>
    <t>Complex</t>
  </si>
  <si>
    <t>build01.02</t>
  </si>
  <si>
    <t>release2</t>
  </si>
  <si>
    <t>Function</t>
  </si>
  <si>
    <t>Bug Trend</t>
  </si>
  <si>
    <t>Update Weekly 
(Each Friday)</t>
  </si>
  <si>
    <t>Client Bugs found
(Total bugs)</t>
  </si>
  <si>
    <t>Client Bugs fixed
(Total bugs –Opened bug)</t>
  </si>
  <si>
    <t>Introduction</t>
  </si>
  <si>
    <t>Purpose</t>
  </si>
  <si>
    <t xml:space="preserve"> - Here are guideline to input the information in the test report sheet. This sheet is master report of QC team. QCL must manage it and keep the information up to date.
</t>
  </si>
  <si>
    <t xml:space="preserve"> - At reportingtime, after filling all information of report, reporter is to do the following:
   - Create a new sheet
   - Select all data of Test Report and press Ctrl+C
   - Go to new sheet and Right-click on A1, select Paste Value
   -  Right-click on A1 again, select Paste Fomular
   - Rename new sheet to the weekreport e.g: WE 20130816
   - Copy this sheet (WE 20130816) to new workbook and then send it to QCM + PM.</t>
  </si>
  <si>
    <t>Header section</t>
  </si>
  <si>
    <t xml:space="preserve"> - The value is "RED, AMBER, or GREEN".  This factor is based on the QC point of view. The status is come from many factors (schedule, build plan, resource, requirement,...)
RED: It has critical issue that is NOT keeping QC Team to deliver on schedule with high quality. The project is needed management team help.
AMBER:  Management team should be aware of the project risks and support if needed.
GREEN: Everything is fine.
</t>
  </si>
  <si>
    <t xml:space="preserve"> - The value is "RED, AMBER, or GREEN"
RED: Behind schedule but QCL estimates that the plan can't be covered. It has critical issue that is NOT keeping QC Team to deliver on schedule and quality. The project is needed management team help.
AMBER: Behind schedule but QCL estimates that the plan can be covered. Management team should be aware of the project risks and support if needed.
GREEN: On schedule and/or before schedule
</t>
  </si>
  <si>
    <t xml:space="preserve"> - All milestones must be mention in this section. The information of this section must be the same milestone information in the test plan.
 - Mention any information which is not standard in the comment. Here are some example:
  + SRS has not been approved.
  + Build plan is not finalized.
  +  QC writes test case with un-approval UCs.
  + The non-functional requirment is not finalized.</t>
  </si>
  <si>
    <t xml:space="preserve">-  The risk list should be order by Created date. The newest risk will be in top.
-  Must copy all risks in test plan to weekly report and monitor them.
-  QCL works with QC team to add/remove the risks weekly
</t>
  </si>
  <si>
    <t xml:space="preserve">-  The issue list should be order by Created date. The newest risk will be in top.
 - All issues of projects which relate d to testing will input in this section. 
 - Don’t remove any issue which has been solved.
 - Here are some sample cases which QCs can put in the issue:
 -   Build late, reject build, SRS is not approved, team performance, task is not in schedule,…
</t>
  </si>
  <si>
    <t>Impact:</t>
  </si>
  <si>
    <t>Status:</t>
  </si>
  <si>
    <t xml:space="preserve"> - "Total % Writing TCs",  "Total % Test Coverage", "Total % Successful Coverage": It is summary information of the detail information in next section.
 - Defect Density: The data is get from MA file. Reporter must make sure that the MA is up to date.
 - % Re-Opened bug:  "total bugs which have reopenned at least 1 time"/ "Total valid bugs". It is not included bugs in the following status: Invalid, Duplicated.</t>
  </si>
  <si>
    <t>Detail Information</t>
  </si>
  <si>
    <t>How to calcuate "% Test case writing completion", "% test coverage", "% test successful coverage":</t>
  </si>
  <si>
    <t xml:space="preserve"> - Each UC is in a complexity level. However, this complexity level is NOT the same as Use case  complexity.
 - QC team reviews the UC and gives assessment complexity of testing for each UC: Simple, Normal, Complex, Very complex.
</t>
  </si>
  <si>
    <t xml:space="preserve">Function complexity level (base on testing)  
</t>
  </si>
  <si>
    <t>Complexity level</t>
  </si>
  <si>
    <t>Weighted of complextity</t>
  </si>
  <si>
    <t>Total functions</t>
  </si>
  <si>
    <t>% Rate of a UC</t>
  </si>
  <si>
    <t>Progress of writing Test Cases</t>
  </si>
  <si>
    <t>UC complexity level</t>
  </si>
  <si>
    <t>%TC writing completion</t>
  </si>
  <si>
    <t xml:space="preserve"> - When doing report, the reporter goes to bug tracking to search the number of bugs and fill it into the table data. 
 - Review the data source of charge to make sure it get correct data source.</t>
  </si>
  <si>
    <t>Client Bugs found and Client bugs fixed: the data is input in the UAT. Before UAT, the value is zero</t>
  </si>
  <si>
    <t>NashTech JIRA</t>
  </si>
  <si>
    <r>
      <t xml:space="preserve">Displaying </t>
    </r>
    <r>
      <rPr>
        <b/>
        <sz val="11"/>
        <color indexed="8"/>
        <rFont val="Arial"/>
        <family val="2"/>
      </rPr>
      <t>33</t>
    </r>
    <r>
      <rPr>
        <sz val="11"/>
        <color indexed="8"/>
        <rFont val="Arial"/>
        <family val="2"/>
      </rPr>
      <t xml:space="preserve"> issues at </t>
    </r>
    <r>
      <rPr>
        <b/>
        <sz val="11"/>
        <color indexed="8"/>
        <rFont val="Arial"/>
        <family val="2"/>
      </rPr>
      <t>20/Sep/16 9:52 AM</t>
    </r>
    <r>
      <rPr>
        <sz val="11"/>
        <color indexed="8"/>
        <rFont val="Arial"/>
        <family val="2"/>
      </rPr>
      <t>.</t>
    </r>
  </si>
  <si>
    <t>Project</t>
  </si>
  <si>
    <t>Key</t>
  </si>
  <si>
    <t>Summary</t>
  </si>
  <si>
    <t>Issue Type</t>
  </si>
  <si>
    <t>Priority</t>
  </si>
  <si>
    <t>Resolution</t>
  </si>
  <si>
    <t>Assignee</t>
  </si>
  <si>
    <t>Reporter</t>
  </si>
  <si>
    <t>Created</t>
  </si>
  <si>
    <t>Last Viewed</t>
  </si>
  <si>
    <t>Updated</t>
  </si>
  <si>
    <t>Resolved</t>
  </si>
  <si>
    <t>Affects Version/s</t>
  </si>
  <si>
    <t>Fix Version/s</t>
  </si>
  <si>
    <t>Project Component/s</t>
  </si>
  <si>
    <t>Due Date</t>
  </si>
  <si>
    <t>Votes</t>
  </si>
  <si>
    <t>Watchers</t>
  </si>
  <si>
    <t>Images</t>
  </si>
  <si>
    <t>Original Estimate</t>
  </si>
  <si>
    <t>Remaining Estimate</t>
  </si>
  <si>
    <t>Time Spent</t>
  </si>
  <si>
    <t>Work Ratio</t>
  </si>
  <si>
    <t>Sub-Tasks</t>
  </si>
  <si>
    <t>Linked Issues</t>
  </si>
  <si>
    <t>Environment</t>
  </si>
  <si>
    <t>Description</t>
  </si>
  <si>
    <t>Security Level</t>
  </si>
  <si>
    <t>Progress</t>
  </si>
  <si>
    <t>Σ Progress</t>
  </si>
  <si>
    <t>Σ Time Spent</t>
  </si>
  <si>
    <t>Σ Remaining Estimate</t>
  </si>
  <si>
    <t>Σ Original Estimate</t>
  </si>
  <si>
    <t>Labels</t>
  </si>
  <si>
    <t>Probability</t>
  </si>
  <si>
    <t>Threshold</t>
  </si>
  <si>
    <t>Contingency Action Plan</t>
  </si>
  <si>
    <t>Mitigation Action Plan</t>
  </si>
  <si>
    <t>Question</t>
  </si>
  <si>
    <t>Project name</t>
  </si>
  <si>
    <t>Project Name/Code</t>
  </si>
  <si>
    <t>Please tell us your location</t>
  </si>
  <si>
    <t>Risk source</t>
  </si>
  <si>
    <t>Risk Category</t>
  </si>
  <si>
    <t>Risk Strategy</t>
  </si>
  <si>
    <t>Impact Level</t>
  </si>
  <si>
    <t>Workspace</t>
  </si>
  <si>
    <t>SVN Repository</t>
  </si>
  <si>
    <t>Account Windows</t>
  </si>
  <si>
    <t>Device's MAC Address</t>
  </si>
  <si>
    <t>Defect Owner</t>
  </si>
  <si>
    <t>Completed Date</t>
  </si>
  <si>
    <t>Your seat code</t>
  </si>
  <si>
    <t>Build</t>
  </si>
  <si>
    <t>HelpDesk - Expectation Date</t>
  </si>
  <si>
    <t>HelpDesk - Document template links</t>
  </si>
  <si>
    <t>Defect Leakage</t>
  </si>
  <si>
    <t>Updated Answer</t>
  </si>
  <si>
    <t>Expected Date</t>
  </si>
  <si>
    <t>Office Location</t>
  </si>
  <si>
    <t>Your workspace</t>
  </si>
  <si>
    <t>Project Name - Project Code</t>
  </si>
  <si>
    <t>Merge Ticket</t>
  </si>
  <si>
    <t>Sprint</t>
  </si>
  <si>
    <t>Epic Link</t>
  </si>
  <si>
    <t>Definition of done</t>
  </si>
  <si>
    <t>Business Acceptance Criteria</t>
  </si>
  <si>
    <t>Flagged</t>
  </si>
  <si>
    <t>Suggested Mock-up Screens</t>
  </si>
  <si>
    <t>Epic/Theme</t>
  </si>
  <si>
    <t>Workflows</t>
  </si>
  <si>
    <t>Current Application Screens</t>
  </si>
  <si>
    <t>Story Points</t>
  </si>
  <si>
    <t>Rank</t>
  </si>
  <si>
    <t>Answer</t>
  </si>
  <si>
    <t>Action Plan</t>
  </si>
  <si>
    <t>Reference</t>
  </si>
  <si>
    <t>DefectType</t>
  </si>
  <si>
    <t>SD10001236_ ProjectDB_UAT</t>
  </si>
  <si>
    <t>SD10001236-918</t>
  </si>
  <si>
    <t>[Regression][ViewChanges] Doer, Reviewer, Approver, QA usernames are shown in QA Username column of Compare pop-upow is in</t>
  </si>
  <si>
    <t>Bug</t>
  </si>
  <si>
    <t>Minor</t>
  </si>
  <si>
    <t>Fixed</t>
  </si>
  <si>
    <t>Huong Nguyen Thi Lan</t>
  </si>
  <si>
    <t xml:space="preserve">_thumb_46985.png </t>
  </si>
  <si>
    <t>This issue happens with 'Compare' pop-up during importing progress. 
Precondition: There is a valid import file that has existing project code and QA username of project is changed. 
Project is assigned doer, reviewer. approver. 
Steps to reproduce: 
1. Access to List of My Projects page 
2. Click on Import button 
3. Choose valid file and click Open 
4. Select some projects in existing grid then choose 'Continue to import' 
5. Click on Compare button of a project in 'Existed' grid 
6. Observe QA Username field of Existed row 
Actual result: 
New assigned doer, reviewer, approver, qa are shown although this field is QA Username. 
Expected result: 
Only existing QA username is displayed.</t>
  </si>
  <si>
    <t>Build_V1.102</t>
  </si>
  <si>
    <t>http://workspace.harveynash.vn/</t>
  </si>
  <si>
    <t>Code error</t>
  </si>
  <si>
    <t>This issue was merged into $value.get(0)</t>
  </si>
  <si>
    <t>Iteration 9</t>
  </si>
  <si>
    <t xml:space="preserve">Bug Fixing </t>
  </si>
  <si>
    <t>SD10001236-840</t>
  </si>
  <si>
    <t>[Regression][CategoryDetails] Page Not Found is shown when clicking on 'Indicator Details' item of breadcrumb</t>
  </si>
  <si>
    <t xml:space="preserve">_thumb_46549.png </t>
  </si>
  <si>
    <t>Precondition: There is a list of Categories exists in database. 
Steps to reproduce: 
1. Access to Indicator Category details page 
2. Click on 'Indicator Details' item of breadcrumb 
3. Observe the result 
Actual result: 
Page Not Found is shown. 
Expected result: 
Indicator Details page is displayed.</t>
  </si>
  <si>
    <t>Build_V1.100</t>
  </si>
  <si>
    <t>Bad Fixes</t>
  </si>
  <si>
    <t>SD10001236-820</t>
  </si>
  <si>
    <t>[Regression][MAPlanDetails] Word in Indicator Group data grid is dropped down the line</t>
  </si>
  <si>
    <t xml:space="preserve">_thumb_46241.png </t>
  </si>
  <si>
    <t>Window 10 - IE11 - 1366 x 768</t>
  </si>
  <si>
    <t>Precondition: There is a list of MA Plan exist in database. 
Steps to reproduce: 
1. Access to MA Plan Details 
2. Observe Indicator Group data grid 
Actual result: 
Word is dropped down the line. 
Expected result: 
Each word should be shown properly.</t>
  </si>
  <si>
    <t>Build_V1.92</t>
  </si>
  <si>
    <t>Iteration 8</t>
  </si>
  <si>
    <t>SD10001236-784</t>
  </si>
  <si>
    <t>[Regression][IndicatorDetails] URL is from 'MA Plan' although sysadmin doesn't have permission on any MA Plan page</t>
  </si>
  <si>
    <t>Ready For QC Test</t>
  </si>
  <si>
    <t>Major</t>
  </si>
  <si>
    <t xml:space="preserve">_thumb_45457.png </t>
  </si>
  <si>
    <t>IE11 - 1366 x 768</t>
  </si>
  <si>
    <t>Precondition: There is a list of MA Template that contains some Indicators inside. 
Log in successfully with sysadmin role. 
Steps to reproduce: 
1. Access to List of MA Templates 
2. Click on "No. of Indicator" hyperlink of any MA Template 
3. Click on Indicator Name hyperlink 
4. Observe URL of current Indicator Details page 
Actual result: 
URL is from 'MA Plan' but sysadmin still access successfully. 
Expected result: 
URL should be from "Indicator".</t>
  </si>
  <si>
    <t>Build_V1.101</t>
  </si>
  <si>
    <t>Iteration 11</t>
  </si>
  <si>
    <t>SD10001236-783</t>
  </si>
  <si>
    <t>[Regression][IndicatorDetails] Page not found is displayed after clicking on Indicator Category tab hyperlink</t>
  </si>
  <si>
    <t xml:space="preserve">_thumb_45455.png </t>
  </si>
  <si>
    <t>Precondition: There is a list of MA Template that contains some Indicators inside. 
Log in successfully with sysadmin/ busadmin role. 
Steps to reproduce: 
1. Access to List of MA Templates 
2. Click on "No. of Indicator" hyperlink of any MA Template 
3. Click on Indicator Name hyperlink 
4. Click on Indicator Category hyperlink tab 
Actual result: 
Page Not Found is shown. 
Expected result: 
List of Indicator Categories page is shown. 
All page and function inside Category tab should work correctly.</t>
  </si>
  <si>
    <t>SD10001236-782</t>
  </si>
  <si>
    <t>[Regression][IndicatorDetails] Page not found is displayed after clicking on Cancel button</t>
  </si>
  <si>
    <t xml:space="preserve">_thumb_45453.png </t>
  </si>
  <si>
    <t>Precondition: There is a list of MA Template that contains some Indicators inside. 
Log in successfully with sysadmin/ busadmin role. 
Steps to reproduce: 
1. Access to List of MA Templates 
2. Click on "No. of Indicator" hyperlink of any MA Template 
3. Click on Indicator Name hyperlink 
4. Click on Cancel button on the top of the page 
Actual result: 
Page Not Found is shown. 
Expected result: 
List of Indicators page is shown.</t>
  </si>
  <si>
    <t>SD10001236-755</t>
  </si>
  <si>
    <t>[Bug][Role&amp;Permission] Manage MA hyperlink is always shown although that MA Plan hasn't been approved</t>
  </si>
  <si>
    <t xml:space="preserve">_thumb_45301.png </t>
  </si>
  <si>
    <t>IE11-1366 x 768</t>
  </si>
  <si>
    <t>This issue happens with Busadmin/ Doer. 
Precondition: There is a list of MA Plans which hasn't been approved MA Plan exists in the system. 
Steps to reproduce: 
1. User A is assigned to Project 1 as Doer/ Busadmin role 
2. User A is assigned to Project 2 as QA role 
3. User A accesses to List of My Projects page 
4. User A observes Action column of project 1 
5. User A generates MA Plan 
6. User A clicks on Manage MA hyperlink in List of My Projects page 
7. Observe the result 
Actual result: 
- At step 4, Manage MA hyperlink is displayed although MA Plan hasn't been approved yet. 
- At step 7, Manage MA page is shown although MA Plan hasn't been approved yet. 
Expected result: 
Manage MA hyperlink is only displayed if MA Plan is approved.</t>
  </si>
  <si>
    <t>Build_V1.85</t>
  </si>
  <si>
    <t>Iteration 7</t>
  </si>
  <si>
    <t>SD10001236-752</t>
  </si>
  <si>
    <t>[Bug][ManageMA] Add Comment pop-up is closed after clicking on any area below Cancel and Save button</t>
  </si>
  <si>
    <t xml:space="preserve">_thumb_45216.png </t>
  </si>
  <si>
    <t>IE11 - 1366 X 768</t>
  </si>
  <si>
    <t>Precondition: 
- There is a list of approved MA Plan that contains some Indicators exists in database. 
- Log in successfully with Doer/ Busadmin. 
Steps: 
1. Doer/Busadmin logs in successfully to the system 
2. Access to List of My Projects page 
3. Click on Manage MA hyperlink 
4. Click on Add Comment button 
5. Click on any area below Cancel and Save button 
Actual result: 
Add Comment pop-up is closed. 
Expected result: 
Add Comment pop-up is only closed when clicking on Cancel button.</t>
  </si>
  <si>
    <t>SD10001236-751</t>
  </si>
  <si>
    <t>[BUG][MAPlanDetails] QA is not able to view Project Details/ MA Plan details page of the project which is not assigned to this QA</t>
  </si>
  <si>
    <t>Phuong Huynh Vu Nam</t>
  </si>
  <si>
    <t xml:space="preserve">_thumb_45237.png _thumb_45236.png </t>
  </si>
  <si>
    <t>Windows 10, IE11, 1366x768</t>
  </si>
  <si>
    <t>This issue happens with MA Plans that aren't assigned to current login 'QA' account and in List of My Projects, List MA Plans Waiting For Review, List MA Plans Waiting For Approve when user clicking on Project Name hyperlink or any hyperlink in Action column. 
Precondition: 
- Log in as *QA* role 
- There is a list of projects that are not assigned to this QA role 
Steps: 
1. Access to My Project page 
2. Click on 'View MA' hyperlink (or any hyperlink in Action column) 
3. Observe the result 
Actual result: 
- QA is not able to view MA Plan details page of the project which is not assigned to this QA 
Expected result: 
- QA should be able to view MA Plan details page of ALL projects</t>
  </si>
  <si>
    <t>Build_V1.84</t>
  </si>
  <si>
    <t>SD10001236-744</t>
  </si>
  <si>
    <t>[Bug][IndicatorDetails] Delete button of Indicator which is used in Approved MA Plan/ MA Template is enable</t>
  </si>
  <si>
    <t xml:space="preserve">_thumb_44992.png </t>
  </si>
  <si>
    <t>This issue also happens in Indicator Category Details page. 
Precondition: There is a list of Indicators which is used in MA Template or Approved MA Plan. 
Steps to reproduce: 
1. Access to Indicator Details page 
2. Observe Delete button 
3. Hover on Delete button 
4. Observe the result 
Actual result: 
At step 2, Delete button is enable. 
At step 4, There is no tool tip to notify user. 
Expected result: 
- Delete button of Indicator/ Category which is used in MA Template/ Approved MA Plan is disable. 
- There is a tool tip when hovering on Delete button: 
+ Indicator Details: "This indicator cannot be deleted. It is being used by some MA Templates/MA plans." 
+ Indicator Category Details: "This category cannot be deleted. The indicator is being used by some MA Templates/MA plans."</t>
  </si>
  <si>
    <t>Build_V1.81</t>
  </si>
  <si>
    <t>SD10001236-714</t>
  </si>
  <si>
    <t>[Bug][ListOfMyProjects] MA Plan Status is changed to Draft after adding comment in Manage MA page</t>
  </si>
  <si>
    <t>Done</t>
  </si>
  <si>
    <t>Iteration 6</t>
  </si>
  <si>
    <t>Precondition: 
- There is a list of Manage MA page. 
- Doer/ Busadmin logs in successfully to the system. 
Steps to reproduce: 
1. Access to Manage MA page 
2. Add Comment successfully 
3. Back to list of my projects 
4. Observe MA Plan Status 
Actual result: 
MA Plan Status is changed to Draft. 
Expected result: 
Adding Comment in Manage MA Page doesn't affect to MA Plan Status.</t>
  </si>
  <si>
    <t>SD10001236-713</t>
  </si>
  <si>
    <t>[Bug][ListOfCategory] Cannot update Category in list of Indicator Categories</t>
  </si>
  <si>
    <t>Precondition: There is a list of Categories exists in database. 
Steps to reproduce: 
1. Access to List of Catogories 
2. Click on edit icon of any record 
3. Enter valid data to Norm fields/ Order field 
4. Click on Save icon 
5. Observe the result 
Actual result: 
Cannot save Category in list. 
Expected result: 
Updated data should be saved successfully.</t>
  </si>
  <si>
    <t>SD10001236-691</t>
  </si>
  <si>
    <t>[Bug][IndicatorDetails] Value of Data Storage field isn't displayed in Approved MA Plan page</t>
  </si>
  <si>
    <t xml:space="preserve">_thumb_44327.png </t>
  </si>
  <si>
    <t>This issue happens with Reviewer/ Approver when data of Data Storage field is number. 
Precondition: there is a list of not generated MA Plan that contains some Indicators. 
Steps to reproduce: 
1. Doer/ Busadmin accesses to Generate MA Plan page 
2. Update Data Storage field of any Indicator with value is number only 
3. Submit MA Plan 
4. Reviewer reviews MA Plan 
5. Approver approves MA Plan 
6. Reviewer/ Approver observes Data Storage field in Approved MA Plan page 
Actual result: 
Data Storage field is blank. 
Expected result: 
Data (number) of Data Storage field should be displayed properly.</t>
  </si>
  <si>
    <t>Build_V1.78</t>
  </si>
  <si>
    <t>None</t>
  </si>
  <si>
    <t>SD10001236-680</t>
  </si>
  <si>
    <t>[Bug][Project Details] QA field is read-only</t>
  </si>
  <si>
    <t xml:space="preserve">_thumb_44318.png </t>
  </si>
  <si>
    <t>Window 10 - IE11 - 1366X768</t>
  </si>
  <si>
    <t>Precondition: There is a list of Project Information. 
Steps to reproduce: 
1. Log in successfully with Busadmin 
2. Access to Project Information Details page 
3. Observe QA field 
Actual result: 
QA field is read-only. 
Expected result: 
QA field is editable.</t>
  </si>
  <si>
    <t>SD10001236-660</t>
  </si>
  <si>
    <t>[Bug][Role&amp;Permission] Doer/Busadmin cannot Generate/ Update his assigned MA Plan if he is a QA of any project</t>
  </si>
  <si>
    <t xml:space="preserve">_thumb_45302.png _thumb_44113.png </t>
  </si>
  <si>
    <t>This issue happens with *Busadmin*/ *Doer*. 
Precondition: There is a list of projects that exist in the system. 
Steps to reproduce: 
1. User A is assigned to Project 1 as Doer/ Busadmin role 
2. User A is assigned to Project 2 as QA role 
3. User A accesses to List of My Projects page 
4. User A observes Action column of project 1 
5. Busadmin generates Project 1 MA Plan 
6. User A accesses to MA Plan Details if Project 1 
7. Observe the page 
Actual result: 
- At step 4, Generate MA hyperlink isn't displayed in Action column for Doer user A. 
- At step 6, Doer user A doesn't have permission to update. 
Expected result: 
- At step 2, user A is a QA, so he can view all MA Plans in read-only mode. 
- But with project that user A is assigned as a Doer, he should have full permission of Doer role.</t>
  </si>
  <si>
    <t>SD10001236-656</t>
  </si>
  <si>
    <t>[Bug][WaitingForApproveMAPlan] MA Plan of SCRUM/Agile model approach is loading 30s after approver clicks on Approve button</t>
  </si>
  <si>
    <t xml:space="preserve">_thumb_43924.png </t>
  </si>
  <si>
    <t>Window10 - IE11 - 1366X768</t>
  </si>
  <si>
    <t>This issue doesn't happen before build 1.72. 
Precondition: There is a list of MA Plan that its MA Plan Status is Waiting For Approve. 
Steps to reproduce: 
1. Approver accesses to MA Plan that is waiting for approve 
2. Click on Approve button 
3. Observe the loading pop-up 
Actual result: 
System need 30s loading to redirect to list of MA Plans waiting for approved page. 
Expect result: 
As reviewer site and other pages, system only need 3s to redirect to next page.</t>
  </si>
  <si>
    <t>SD10001236-646</t>
  </si>
  <si>
    <t>[Regression][UserDetails] Access Deny page shown when clicking on Cancel button on Project Details page</t>
  </si>
  <si>
    <t xml:space="preserve">_thumb_45141.png </t>
  </si>
  <si>
    <t>Window10 - IE11 - 1366x768</t>
  </si>
  <si>
    <t>Precondition: There is a list of users that assigned to projects. 
Steps to reproduce: 
1. Access to User Details page (Busadmin role) 
2. Click on Project Name hyperlink 
3. Click on Cancel button 
4. Observe the result 
Actual result: 
Access Deny page shown. 
Expected result: 
List of Project Information page is displayed..</t>
  </si>
  <si>
    <t>SD10001236-640</t>
  </si>
  <si>
    <t>[Regression][ListOfUsers] Page Not Found page shown when clicking on 'Add New User' button</t>
  </si>
  <si>
    <t xml:space="preserve">_thumb_43401.png _thumb_44125.png </t>
  </si>
  <si>
    <t>Window7-IE11-1366x768</t>
  </si>
  <si>
    <t>Precondition: Log in successfully with sysadmin role. 
Steps to reproduce: 
1. Click on Master Data dropdownlist on menu bar 
2. Select User from 'Role and Permission' sub-menu 
3. Click on 'Add New User' button 
4. Observe the result 
Actual result: 
Page Not Found page shown. 
Expected result: 
'Add New User' page shown.</t>
  </si>
  <si>
    <t>Build_V1.74</t>
  </si>
  <si>
    <t>SD10001236-388</t>
  </si>
  <si>
    <t>[SD10001236-178][IndicatorDetails] Indicator data isn't saved successfully after clicking on Save Indicator button</t>
  </si>
  <si>
    <t>Thanh Nguyen Dinh</t>
  </si>
  <si>
    <t xml:space="preserve">_thumb_41974.png </t>
  </si>
  <si>
    <t>SD10001236-478, SD10001236-479</t>
  </si>
  <si>
    <t>Window7- IE11- 1366x768</t>
  </si>
  <si>
    <t>Precondition: 
- Sysadmin/ Doer logs in successfully to the system. 
- There are some Indicators exist in MA Template. 
Steps to reproduce: 
1. Access to Generate/ MA Plan Details page 
2. Click on Indicator Name hyperlink 
3. Enter data to text fields and Norm's fields 
4. Click on Save Indicator button 
5. Observe the updated fields 
Actual result: 
Nothing has been changed.. 
Expected result: 
Updated data should be displayed properly and saved successfully.</t>
  </si>
  <si>
    <t>Build_V1.51</t>
  </si>
  <si>
    <t>(Empty)</t>
  </si>
  <si>
    <t>Iteration 4</t>
  </si>
  <si>
    <t>SD10001236-327</t>
  </si>
  <si>
    <t>[SD10001236-178][IndicatorDetails] Missing Reload confirmation pop-up when 2 users update the same Indicator at the same time</t>
  </si>
  <si>
    <t>Iteration 2</t>
  </si>
  <si>
    <t xml:space="preserve">_thumb_41615.png </t>
  </si>
  <si>
    <t>SD10001236-517</t>
  </si>
  <si>
    <t>Note: This issue happens with Sysadmin/ Doer on Generate/MA Plan Details page. 
Precondition: 
- There is a list of Projects and its corresponding combination of 3 MA Template exist in database. 
- MA Template contains some Indicators. 
- Doer/ Sysadmin log in successfully to the system. 
Steps: 
1. User 1 accesses to List of My Projects page 
2. Click on 'Generate MA' or 'View MA' hyperlink 
3. Click on Indicator Name hyperlink 
4. Update some fields but don't click Save 
5. User 2 accesses to the same MA Plan in step 2 
6. Click on the same Indicator Name hyperlink in step 3 
7. Update some fields 
8. Click on Save button =&gt; Indicator is updated successfully 
9. User 1 in step 4 clicks on Save button 
10. Observe the result 
Actual result: 
At step 9, user 1 still updates Indicator successfully. 
Expected result: 
Reload confirmation pop-up "Data has been changed. You need to reload data. Reload now?" with 2 buttons Yes, No is displayed. 
- Click on Yes, Indicator Details pop-up is reloaded and new info at step 8 is displayed properly. 
- Click on No, Reload pop-up is closed and the old data is still displayed.</t>
  </si>
  <si>
    <t>Build_V1.53</t>
  </si>
  <si>
    <t>SD10001236-324</t>
  </si>
  <si>
    <t>[Bug][ViewMAPlan] All selected Indicators are removed after updating Indicator Details in Generate MA Plan page</t>
  </si>
  <si>
    <t>Iteration 3</t>
  </si>
  <si>
    <t xml:space="preserve">_thumb_41608.png </t>
  </si>
  <si>
    <t>This issue happens in Generate MA Plan page and when user updates Indicators to revise MA Plan. 
Precondition: 
- MA Plan that contains some Indicators. 
- Sysadmin/ Doer logs in successfully to the system. 
Steps to reproduce: 
1. Access to Generate MA Plan page 
2. Click on Indicator Name hyperlink 
3. Edit some fields 
4. Click on Save button 
5. Observe the Indicator Group data grid 
Actual result: 
MA Plan is generated and only Indicator in step 2 is displayed. All remaining selected Indicators are removed from MA Plan. 
Expected result: 
- Indicator is updated successfully. 
- MA Plan is generated successfully and all selected Indicators should be displayed properly.</t>
  </si>
  <si>
    <t>Build_V1.47</t>
  </si>
  <si>
    <t>SD10001236-321</t>
  </si>
  <si>
    <t>[SD10001236-178][IndicatorDetails] User can update successfully with invalid data in Norm's fields</t>
  </si>
  <si>
    <t xml:space="preserve">_thumb_42188.png _thumb_41593.png </t>
  </si>
  <si>
    <t>SD10001236-393, SD10001236-405</t>
  </si>
  <si>
    <t>This issue happens in Generate/ MA Plan Details page. 
Precondition: 
- There is a list of Projects and its corresponding combination of 3 MA Template exist in database. 
- MA Template contains some Indicators. 
- Sysadmin/ Doer logs in successfully to the system. 
Steps to reproduce: 
1. Access to Generate/ MA Plan Details page 
2. Click on Indicator Name hyperlink 
3. Select Percentage in Format dropdownlist 
4. Enter invalid data into Norm's fields (&gt;100%) 
5. Click on Save Indicator button 
6. Observe the result 
Actual result: 
Indicator Details is updated successfully. 
Expected result: 
Error message "The value input for fields is invalid." shown. 
Indicator Details cannot be saved.</t>
  </si>
  <si>
    <t>Build_V1.50</t>
  </si>
  <si>
    <t>SD10001236-319</t>
  </si>
  <si>
    <t>[SD10001236-178][IndicatorDetails] Redundant data in Format dropdownlist</t>
  </si>
  <si>
    <t xml:space="preserve">_thumb_41549.png </t>
  </si>
  <si>
    <t>This issue happens in Generate/ MA Plan Details page. 
Precondition: 
Sysadmin/ Doer logs in successfully to the system. 
Steps to reproduce: 
1. Access to Generate/ MA Plan Details page 
2. Click on Indicator Name hyperlink 
3. Click on Format dropdownlist 
4. Observe the data of dropdownlist 
Actual result: 
Redundant data in Format dropdownlist. 
Expected result: 
Data in 'Format' dropdown list is displayed as below: 
• Number 
• Percentage"</t>
  </si>
  <si>
    <t>Build_V1.46</t>
  </si>
  <si>
    <t>SD10001236-316</t>
  </si>
  <si>
    <t>[SD10001236-178][IndicatorDetails] Cancel button doesn't have function</t>
  </si>
  <si>
    <t xml:space="preserve">_thumb_41535.png </t>
  </si>
  <si>
    <t>Precondition: 
- There is a list of Projects and its corresponding combination of 3 MA Template exist in database. 
- MA Template contains some Indicators. 
Steps to reproduce: 
1. Access to Generate/ MA Plan Details 
2. Click on Indicator Name hyperlink 
3. Click on Cancel button 
Actual result: 
Cancel button doesn't have function. 
Expected result: 
Indicator Details pop-up should be closed without saving anything when clicking on Cancel button.</t>
  </si>
  <si>
    <t>SD10001236-305</t>
  </si>
  <si>
    <t>[SD10001236-173][ViewChange] Content of View Change pop-up is incorrected.</t>
  </si>
  <si>
    <t>Ha Tran Nhat</t>
  </si>
  <si>
    <t xml:space="preserve">_thumb_41437.png </t>
  </si>
  <si>
    <t>SD10001236-452</t>
  </si>
  <si>
    <t>SD10001236-173</t>
  </si>
  <si>
    <t>Windows 7, IE11, 1366x768</t>
  </si>
  <si>
    <t>Precondition: 
MA Plan has at least one change (add new/update/delete indicator...) 
Step: 
1. Doer/Sysadmin access to MA plan detail. 
2. Click on View Change button. 
3. Observe View Change pop-up. 
4. Repeat step 1-3 with reviewer/ approver. 
Actual result: 
View Change pop-up shows all selected Indicators in MA Plan. 
Expected result: 
View Change pop-up shows only changed Indicators.</t>
  </si>
  <si>
    <t>SD10001236-303</t>
  </si>
  <si>
    <t>[SD10001236-173][MAPlanWaitingForReview] Data of submitted MA Plan isn't displayed on 'MAPlanWaitingForReview' page</t>
  </si>
  <si>
    <t>Critical</t>
  </si>
  <si>
    <t xml:space="preserve">_thumb_41433.png </t>
  </si>
  <si>
    <t>Window 7 - IE11 - 1366X768</t>
  </si>
  <si>
    <t>Note: This issue also happens with Approver on MA Plan waiting for approve page. 
Precondition: 
- There is a list of Projects and its corresponding combination of 3 MA Template exist in database. 
- MA Template contains some Indicators. 
Steps: 
1. Doer/Sysadmin submits MA Plan that contains some Indicators 
2. Reviewer accesses to List of MA Plan waiting for review page 
3. Click on 'Waiting For Review' hyperlink 
4. Observe the page 
Actual result: 
Message "No indicator selected for the MA plan." is displayed and no data is shown. 
Expected result: 
Data of submitted MA Plan (all Indicators and Indicator Groups) should be displayed properly on 'MAPlanWaitingForReview' page.</t>
  </si>
  <si>
    <t>SD10001236-33</t>
  </si>
  <si>
    <t>Can't update MA template detail</t>
  </si>
  <si>
    <t>Nguyet Nguyen Thi</t>
  </si>
  <si>
    <t xml:space="preserve">Step: 
1. Acess [ MA plan template] tab 
2. click detail 1 MA plan template 
result: 
Can't update MA plan template 
expect: can update MA plan template 
</t>
  </si>
  <si>
    <t>SD10001236-31</t>
  </si>
  <si>
    <t>Project Info: Model Approach can be changed by SysAdmin user</t>
  </si>
  <si>
    <t>Ready For Client Test</t>
  </si>
  <si>
    <t>Dung Duong Chi</t>
  </si>
  <si>
    <t>As Use case: This field is read only. But it can be changed by User SysAdmin. 
--&gt; Impacted: MA plan (Scrum/Agile) was approved and collected data for this project. But Model Approach (Scrum/Agile) can be changed into RUP, So the current MA (Scrum/Agile) is wrong with new Model Approach (RUP). 
Ex: project: ATGMedia_ODC</t>
  </si>
  <si>
    <t>Project Name:</t>
  </si>
  <si>
    <t>Creator:</t>
  </si>
  <si>
    <t>Notes:</t>
  </si>
  <si>
    <t>RAG Status:</t>
  </si>
  <si>
    <t>Upto date:</t>
  </si>
  <si>
    <t>Schedule Status:</t>
  </si>
  <si>
    <t>GUI</t>
  </si>
  <si>
    <t>Performance</t>
  </si>
  <si>
    <t>Security</t>
  </si>
  <si>
    <t>Usability</t>
  </si>
  <si>
    <t>Installation</t>
  </si>
  <si>
    <t>Documentation</t>
  </si>
  <si>
    <t>NashTech</t>
  </si>
  <si>
    <t>GREEN</t>
  </si>
  <si>
    <t>1. Summary by Defect Type</t>
  </si>
  <si>
    <t>2. Summary by Detected Time</t>
  </si>
  <si>
    <t>3. Summary by Reviewer</t>
  </si>
  <si>
    <t>1,0</t>
  </si>
  <si>
    <t>1.2.1</t>
  </si>
  <si>
    <t>Update following NashTech branding style</t>
  </si>
  <si>
    <t>QA Dept.</t>
  </si>
  <si>
    <r>
      <rPr>
        <b/>
        <sz val="11"/>
        <color indexed="8"/>
        <rFont val="Arial"/>
        <family val="2"/>
      </rPr>
      <t>High</t>
    </r>
    <r>
      <rPr>
        <sz val="11"/>
        <color indexed="8"/>
        <rFont val="Arial"/>
        <family val="2"/>
      </rPr>
      <t xml:space="preserve">: critical issues that are NOT keeping QC team to complete tasks on schedule. These items are needed management support to be solved.
</t>
    </r>
    <r>
      <rPr>
        <b/>
        <sz val="11"/>
        <color indexed="8"/>
        <rFont val="Arial"/>
        <family val="2"/>
      </rPr>
      <t>Normal</t>
    </r>
    <r>
      <rPr>
        <sz val="11"/>
        <color indexed="8"/>
        <rFont val="Arial"/>
        <family val="2"/>
      </rPr>
      <t xml:space="preserve">: issues that management should be aware of but it does keep QC Team to complete tasks on schedule. These items are not needed management support to be solved.
</t>
    </r>
  </si>
  <si>
    <r>
      <rPr>
        <b/>
        <sz val="11"/>
        <color indexed="8"/>
        <rFont val="Arial"/>
        <family val="2"/>
      </rPr>
      <t>Open:</t>
    </r>
    <r>
      <rPr>
        <sz val="11"/>
        <color indexed="8"/>
        <rFont val="Arial"/>
        <family val="2"/>
      </rPr>
      <t xml:space="preserve"> the issue has not been solved.
</t>
    </r>
    <r>
      <rPr>
        <b/>
        <sz val="11"/>
        <color indexed="8"/>
        <rFont val="Arial"/>
        <family val="2"/>
      </rPr>
      <t>Close</t>
    </r>
    <r>
      <rPr>
        <sz val="11"/>
        <color indexed="8"/>
        <rFont val="Arial"/>
        <family val="2"/>
      </rPr>
      <t xml:space="preserve">: the issue has been solved.
</t>
    </r>
  </si>
  <si>
    <t>Risk list</t>
  </si>
  <si>
    <t>Test report</t>
  </si>
  <si>
    <t>NT Bugs found: Total of bugs is up to date. (It can be from search without created date). It is excluded the following bugs resolution:
  - Invalid
  - Duplicate</t>
  </si>
  <si>
    <t>NT Opened bugs : Total of opened bugs is up to date. It is included the following status: “NEW”, “Reopened”, "Assigned".  It is excluded the following bugs resolution:
  - Invalid
  - Duplicate</t>
  </si>
  <si>
    <t>NT Bugs fixed: Total of fixed bugs is up to date. It is included the following status: “Resolved”, “Verified”, “Closed”, “Ready to test”.  It is excluded the following bugs resolution:
  - Invalid
  - Duplicate</t>
  </si>
  <si>
    <t>NT Bugs found
(Total bugs)</t>
  </si>
  <si>
    <t>NT Bugs fixed
(Total bugs –Opened bug)</t>
  </si>
  <si>
    <t>Edited by</t>
  </si>
  <si>
    <t>Defect Analysis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</si>
</sst>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mmmm\ d\,\ yyyy;@"/>
    <numFmt numFmtId="165" formatCode="0.0"/>
    <numFmt numFmtId="166" formatCode="[$-409]d\-mmm\-yy;@"/>
    <numFmt numFmtId="167" formatCode="mmm\ dd\ yyyy"/>
  </numFmts>
  <fonts count="49">
    <font>
      <sz val="11"/>
      <color theme="1"/>
      <name val="Arial"/>
      <family val="2"/>
      <scheme val="minor"/>
    </font>
    <font>
      <sz val="10"/>
      <name val="Arial"/>
      <family val="2"/>
    </font>
    <font>
      <b/>
      <sz val="14"/>
      <color theme="7"/>
      <name val="Arial"/>
      <family val="2"/>
    </font>
    <font>
      <b/>
      <sz val="10"/>
      <color rgb="FFFFFFFF"/>
      <name val="Arial"/>
      <family val="2"/>
    </font>
    <font>
      <b/>
      <sz val="10"/>
      <name val="Arial"/>
      <family val="2"/>
    </font>
    <font>
      <sz val="10"/>
      <color theme="0"/>
      <name val="Arial"/>
      <family val="2"/>
    </font>
    <font>
      <b/>
      <sz val="10"/>
      <color theme="0"/>
      <name val="Arial"/>
      <family val="2"/>
    </font>
    <font>
      <sz val="9"/>
      <name val="Arial"/>
      <family val="2"/>
    </font>
    <font>
      <b/>
      <sz val="16"/>
      <name val="Arial"/>
      <family val="2"/>
    </font>
    <font>
      <b/>
      <u/>
      <sz val="16"/>
      <name val="Arial"/>
      <family val="2"/>
    </font>
    <font>
      <b/>
      <sz val="10"/>
      <color indexed="16"/>
      <name val="Arial"/>
      <family val="2"/>
    </font>
    <font>
      <sz val="11"/>
      <name val="明朝"/>
      <family val="3"/>
      <charset val="128"/>
    </font>
    <font>
      <b/>
      <sz val="20"/>
      <color theme="5"/>
      <name val="Arial"/>
      <family val="2"/>
    </font>
    <font>
      <b/>
      <sz val="16"/>
      <color indexed="56"/>
      <name val="Arial"/>
      <family val="2"/>
    </font>
    <font>
      <b/>
      <sz val="18"/>
      <color indexed="56"/>
      <name val="Arial"/>
      <family val="2"/>
    </font>
    <font>
      <sz val="11"/>
      <name val="Arial"/>
      <family val="2"/>
    </font>
    <font>
      <b/>
      <sz val="11"/>
      <name val="Arial"/>
      <family val="2"/>
    </font>
    <font>
      <b/>
      <sz val="16"/>
      <color theme="7"/>
      <name val="Arial"/>
      <family val="2"/>
    </font>
    <font>
      <u/>
      <sz val="11"/>
      <color rgb="FF7EA1D0"/>
      <name val="Arial"/>
      <family val="2"/>
      <scheme val="minor"/>
    </font>
    <font>
      <sz val="11"/>
      <color theme="1"/>
      <name val="Arial"/>
      <family val="2"/>
      <scheme val="minor"/>
    </font>
    <font>
      <b/>
      <sz val="9"/>
      <color indexed="81"/>
      <name val="Tahoma"/>
      <family val="2"/>
    </font>
    <font>
      <sz val="9"/>
      <color indexed="81"/>
      <name val="Tahoma"/>
      <family val="2"/>
    </font>
    <font>
      <sz val="11"/>
      <color theme="1"/>
      <name val="Arial"/>
      <family val="2"/>
    </font>
    <font>
      <sz val="11"/>
      <name val="ＭＳ Ｐゴシック"/>
      <family val="2"/>
      <charset val="128"/>
    </font>
    <font>
      <b/>
      <sz val="10"/>
      <color indexed="9"/>
      <name val="Arial"/>
      <family val="2"/>
    </font>
    <font>
      <sz val="10"/>
      <color theme="1"/>
      <name val="Arial"/>
      <family val="2"/>
    </font>
    <font>
      <sz val="10"/>
      <color rgb="FF002E36"/>
      <name val="Arial"/>
      <family val="2"/>
    </font>
    <font>
      <b/>
      <sz val="10"/>
      <color theme="1"/>
      <name val="Arial"/>
      <family val="2"/>
    </font>
    <font>
      <sz val="10"/>
      <color rgb="FF002060"/>
      <name val="Arial"/>
      <family val="2"/>
    </font>
    <font>
      <b/>
      <sz val="15"/>
      <color theme="1"/>
      <name val="Arial"/>
      <family val="2"/>
    </font>
    <font>
      <sz val="11"/>
      <color rgb="FF000000"/>
      <name val="Arial"/>
      <family val="2"/>
    </font>
    <font>
      <sz val="9"/>
      <color rgb="FF000000"/>
      <name val="Arial"/>
      <family val="2"/>
    </font>
    <font>
      <b/>
      <sz val="11"/>
      <color indexed="8"/>
      <name val="Arial"/>
      <family val="2"/>
    </font>
    <font>
      <sz val="11"/>
      <color indexed="8"/>
      <name val="Arial"/>
      <family val="2"/>
    </font>
    <font>
      <b/>
      <sz val="14"/>
      <color rgb="FF6D829F"/>
      <name val="Arial"/>
      <family val="2"/>
    </font>
    <font>
      <sz val="11"/>
      <color rgb="FF6D829F"/>
      <name val="Arial"/>
      <family val="2"/>
      <scheme val="minor"/>
    </font>
    <font>
      <sz val="10"/>
      <color theme="0"/>
      <name val="Arial"/>
      <family val="2"/>
      <scheme val="minor"/>
    </font>
    <font>
      <sz val="10"/>
      <color theme="1"/>
      <name val="Arial"/>
      <family val="2"/>
      <scheme val="minor"/>
    </font>
    <font>
      <u/>
      <sz val="10"/>
      <color rgb="FF7EA1D0"/>
      <name val="Arial"/>
      <family val="2"/>
      <scheme val="minor"/>
    </font>
    <font>
      <b/>
      <sz val="10"/>
      <color rgb="FF000000"/>
      <name val="Arial"/>
      <family val="2"/>
    </font>
    <font>
      <sz val="10"/>
      <color rgb="FF000000"/>
      <name val="Arial"/>
      <family val="2"/>
    </font>
    <font>
      <b/>
      <sz val="18"/>
      <color theme="7"/>
      <name val="Arial"/>
      <family val="2"/>
    </font>
    <font>
      <b/>
      <sz val="13"/>
      <color rgb="FF6D829F"/>
      <name val="Arial"/>
      <family val="2"/>
    </font>
    <font>
      <b/>
      <sz val="11"/>
      <color theme="1"/>
      <name val="Arial"/>
      <family val="2"/>
    </font>
    <font>
      <sz val="12"/>
      <color theme="1"/>
      <name val="Arial"/>
      <family val="2"/>
    </font>
    <font>
      <b/>
      <sz val="13"/>
      <color theme="5"/>
      <name val="Arial"/>
      <family val="2"/>
    </font>
    <font>
      <i/>
      <sz val="10"/>
      <color theme="1"/>
      <name val="Arial"/>
      <family val="2"/>
    </font>
    <font>
      <b/>
      <sz val="10"/>
      <color theme="0"/>
      <name val="Arial"/>
      <family val="2"/>
      <scheme val="minor"/>
    </font>
    <font>
      <b/>
      <sz val="10"/>
      <color theme="1"/>
      <name val="Arial"/>
      <family val="2"/>
      <scheme val="minor"/>
    </font>
  </fonts>
  <fills count="23">
    <fill>
      <patternFill patternType="none"/>
    </fill>
    <fill>
      <patternFill patternType="gray125"/>
    </fill>
    <fill>
      <patternFill patternType="solid">
        <fgColor theme="5"/>
        <bgColor indexed="64"/>
      </patternFill>
    </fill>
    <fill>
      <patternFill patternType="solid">
        <fgColor theme="0"/>
        <bgColor indexed="64"/>
      </patternFill>
    </fill>
    <fill>
      <patternFill patternType="solid">
        <fgColor indexed="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indexed="64"/>
      </patternFill>
    </fill>
    <fill>
      <patternFill patternType="solid">
        <fgColor rgb="FFCACFD9"/>
        <bgColor indexed="64"/>
      </patternFill>
    </fill>
    <fill>
      <patternFill patternType="solid">
        <fgColor indexed="16"/>
        <bgColor indexed="64"/>
      </patternFill>
    </fill>
    <fill>
      <patternFill patternType="solid">
        <fgColor indexed="41"/>
        <bgColor indexed="64"/>
      </patternFill>
    </fill>
    <fill>
      <patternFill patternType="solid">
        <fgColor indexed="47"/>
        <bgColor indexed="64"/>
      </patternFill>
    </fill>
    <fill>
      <patternFill patternType="solid">
        <fgColor indexed="22"/>
        <bgColor indexed="64"/>
      </patternFill>
    </fill>
    <fill>
      <patternFill patternType="solid">
        <fgColor indexed="45"/>
        <bgColor indexed="64"/>
      </patternFill>
    </fill>
    <fill>
      <patternFill patternType="solid">
        <fgColor theme="1" tint="0.79998168889431442"/>
        <bgColor indexed="64"/>
      </patternFill>
    </fill>
    <fill>
      <patternFill patternType="solid">
        <fgColor theme="9" tint="0.59999389629810485"/>
        <bgColor indexed="64"/>
      </patternFill>
    </fill>
    <fill>
      <patternFill patternType="solid">
        <fgColor indexed="9"/>
        <bgColor indexed="26"/>
      </patternFill>
    </fill>
    <fill>
      <patternFill patternType="solid">
        <fgColor rgb="FF205081"/>
        <bgColor indexed="64"/>
      </patternFill>
    </fill>
    <fill>
      <patternFill patternType="solid">
        <fgColor theme="5"/>
        <bgColor indexed="26"/>
      </patternFill>
    </fill>
    <fill>
      <patternFill patternType="solid">
        <fgColor theme="5"/>
        <bgColor indexed="32"/>
      </patternFill>
    </fill>
    <fill>
      <patternFill patternType="solid">
        <fgColor theme="9"/>
        <bgColor indexed="64"/>
      </patternFill>
    </fill>
    <fill>
      <patternFill patternType="solid">
        <fgColor theme="2"/>
        <bgColor indexed="64"/>
      </patternFill>
    </fill>
    <fill>
      <patternFill patternType="solid">
        <fgColor theme="0" tint="-0.14999847407452621"/>
        <bgColor indexed="64"/>
      </patternFill>
    </fill>
  </fills>
  <borders count="2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B050"/>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BFBFBF"/>
      </left>
      <right style="thin">
        <color rgb="FFBFBFBF"/>
      </right>
      <top style="thin">
        <color rgb="FFBFBFBF"/>
      </top>
      <bottom style="thin">
        <color rgb="FFBFBFBF"/>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rgb="FFBFBFBF"/>
      </right>
      <top/>
      <bottom style="thin">
        <color rgb="FFBFBFBF"/>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right style="medium">
        <color theme="8"/>
      </right>
      <top/>
      <bottom style="medium">
        <color theme="8"/>
      </bottom>
      <diagonal/>
    </border>
    <border>
      <left/>
      <right style="medium">
        <color theme="8"/>
      </right>
      <top/>
      <bottom/>
      <diagonal/>
    </border>
    <border>
      <left style="medium">
        <color theme="8"/>
      </left>
      <right/>
      <top/>
      <bottom style="medium">
        <color theme="8"/>
      </bottom>
      <diagonal/>
    </border>
    <border>
      <left/>
      <right/>
      <top/>
      <bottom style="medium">
        <color theme="8"/>
      </bottom>
      <diagonal/>
    </border>
    <border>
      <left style="medium">
        <color theme="8"/>
      </left>
      <right/>
      <top/>
      <bottom/>
      <diagonal/>
    </border>
    <border>
      <left/>
      <right style="medium">
        <color theme="8"/>
      </right>
      <top/>
      <bottom style="medium">
        <color rgb="FF00B050"/>
      </bottom>
      <diagonal/>
    </border>
    <border>
      <left style="thin">
        <color rgb="FFBFBFBF"/>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s>
  <cellStyleXfs count="25">
    <xf numFmtId="164" fontId="0" fillId="0" borderId="0"/>
    <xf numFmtId="164" fontId="1" fillId="0" borderId="0"/>
    <xf numFmtId="164" fontId="1" fillId="4" borderId="2">
      <alignment vertical="center" wrapText="1"/>
    </xf>
    <xf numFmtId="164" fontId="1" fillId="0" borderId="0"/>
    <xf numFmtId="164" fontId="1" fillId="9" borderId="0"/>
    <xf numFmtId="164" fontId="1" fillId="9" borderId="0"/>
    <xf numFmtId="164" fontId="1" fillId="0" borderId="0">
      <alignment horizontal="left" vertical="top" wrapText="1" indent="2"/>
    </xf>
    <xf numFmtId="164" fontId="7" fillId="0" borderId="3" applyFont="0"/>
    <xf numFmtId="2" fontId="8" fillId="0" borderId="0">
      <alignment horizontal="center" vertical="center" wrapText="1"/>
    </xf>
    <xf numFmtId="164" fontId="7" fillId="10" borderId="3">
      <alignment horizontal="left" vertical="center"/>
    </xf>
    <xf numFmtId="164" fontId="7" fillId="11" borderId="3" applyAlignment="0">
      <alignment horizontal="center" vertical="center"/>
    </xf>
    <xf numFmtId="164" fontId="4" fillId="0" borderId="0">
      <alignment horizontal="left"/>
    </xf>
    <xf numFmtId="164" fontId="1" fillId="0" borderId="0"/>
    <xf numFmtId="164" fontId="9" fillId="4" borderId="0">
      <alignment horizontal="center" vertical="center" wrapText="1"/>
    </xf>
    <xf numFmtId="164" fontId="4" fillId="0" borderId="0">
      <alignment vertical="center"/>
    </xf>
    <xf numFmtId="164" fontId="4" fillId="0" borderId="0">
      <alignment vertical="center"/>
    </xf>
    <xf numFmtId="164" fontId="10" fillId="12" borderId="2">
      <alignment horizontal="center" vertical="center" wrapText="1"/>
    </xf>
    <xf numFmtId="164" fontId="4" fillId="13" borderId="2">
      <alignment horizontal="center" vertical="center" wrapText="1"/>
    </xf>
    <xf numFmtId="164" fontId="11" fillId="0" borderId="0"/>
    <xf numFmtId="164" fontId="18" fillId="0" borderId="0" applyNumberFormat="0" applyFill="0" applyBorder="0" applyAlignment="0" applyProtection="0"/>
    <xf numFmtId="9" fontId="19" fillId="0" borderId="0" applyFont="0" applyFill="0" applyBorder="0" applyAlignment="0" applyProtection="0"/>
    <xf numFmtId="164" fontId="1" fillId="4" borderId="2">
      <alignment vertical="center" wrapText="1"/>
    </xf>
    <xf numFmtId="164" fontId="23" fillId="0" borderId="0"/>
    <xf numFmtId="164" fontId="23" fillId="0" borderId="0"/>
    <xf numFmtId="9" fontId="23" fillId="0" borderId="0" applyFont="0" applyFill="0" applyBorder="0" applyAlignment="0" applyProtection="0"/>
  </cellStyleXfs>
  <cellXfs count="233">
    <xf numFmtId="164" fontId="0" fillId="0" borderId="0" xfId="0"/>
    <xf numFmtId="164" fontId="1" fillId="3" borderId="0" xfId="1" applyFill="1"/>
    <xf numFmtId="164" fontId="2" fillId="0" borderId="0" xfId="1" applyFont="1"/>
    <xf numFmtId="164" fontId="4" fillId="5" borderId="1" xfId="1" applyFont="1" applyFill="1" applyBorder="1" applyAlignment="1">
      <alignment horizontal="center" vertical="center" wrapText="1"/>
    </xf>
    <xf numFmtId="164" fontId="1" fillId="0" borderId="0" xfId="1" applyFont="1" applyBorder="1"/>
    <xf numFmtId="164" fontId="1" fillId="0" borderId="0" xfId="1" applyFont="1" applyBorder="1" applyAlignment="1">
      <alignment horizontal="left"/>
    </xf>
    <xf numFmtId="164" fontId="1" fillId="0" borderId="0" xfId="0" applyFont="1" applyBorder="1"/>
    <xf numFmtId="164" fontId="1" fillId="0" borderId="0" xfId="0" applyFont="1" applyBorder="1" applyAlignment="1">
      <alignment vertical="center"/>
    </xf>
    <xf numFmtId="164" fontId="1" fillId="0" borderId="0" xfId="1" applyNumberFormat="1" applyFont="1" applyBorder="1" applyAlignment="1">
      <alignment horizontal="right" vertical="top"/>
    </xf>
    <xf numFmtId="164" fontId="1" fillId="3" borderId="0" xfId="1" applyFont="1" applyFill="1"/>
    <xf numFmtId="164" fontId="15" fillId="3" borderId="0" xfId="1" applyFont="1" applyFill="1" applyAlignment="1">
      <alignment horizontal="right" vertical="top"/>
    </xf>
    <xf numFmtId="164" fontId="17" fillId="0" borderId="0" xfId="1" applyFont="1"/>
    <xf numFmtId="164" fontId="22" fillId="0" borderId="0" xfId="0" applyFont="1"/>
    <xf numFmtId="164" fontId="1" fillId="0" borderId="0" xfId="0" applyFont="1" applyAlignment="1">
      <alignment vertical="top"/>
    </xf>
    <xf numFmtId="164" fontId="25" fillId="0" borderId="0" xfId="0" applyFont="1"/>
    <xf numFmtId="164" fontId="25" fillId="0" borderId="0" xfId="0" applyFont="1" applyAlignment="1">
      <alignment horizontal="left" vertical="top" wrapText="1"/>
    </xf>
    <xf numFmtId="164" fontId="25" fillId="0" borderId="0" xfId="0" applyFont="1" applyAlignment="1">
      <alignment horizontal="left" vertical="top"/>
    </xf>
    <xf numFmtId="164" fontId="25" fillId="0" borderId="0" xfId="0" applyFont="1" applyAlignment="1">
      <alignment vertical="top" wrapText="1"/>
    </xf>
    <xf numFmtId="164" fontId="25" fillId="0" borderId="0" xfId="0" quotePrefix="1" applyFont="1" applyAlignment="1">
      <alignment vertical="top" wrapText="1"/>
    </xf>
    <xf numFmtId="164" fontId="1" fillId="0" borderId="0" xfId="22" applyFont="1"/>
    <xf numFmtId="10" fontId="1" fillId="0" borderId="0" xfId="24" applyNumberFormat="1" applyFont="1" applyFill="1" applyBorder="1"/>
    <xf numFmtId="9" fontId="25" fillId="0" borderId="0" xfId="0" applyNumberFormat="1" applyFont="1"/>
    <xf numFmtId="164" fontId="25" fillId="0" borderId="0" xfId="0" applyFont="1" applyFill="1"/>
    <xf numFmtId="164" fontId="25" fillId="0" borderId="0" xfId="0" applyFont="1" applyFill="1" applyBorder="1"/>
    <xf numFmtId="164" fontId="24" fillId="0" borderId="0" xfId="23" applyFont="1" applyFill="1" applyBorder="1" applyAlignment="1">
      <alignment horizontal="center" vertical="center" wrapText="1"/>
    </xf>
    <xf numFmtId="164" fontId="5" fillId="0" borderId="0" xfId="0" applyFont="1" applyFill="1" applyBorder="1"/>
    <xf numFmtId="10" fontId="25" fillId="0" borderId="0" xfId="0" applyNumberFormat="1" applyFont="1" applyFill="1" applyBorder="1"/>
    <xf numFmtId="164" fontId="31" fillId="0" borderId="0" xfId="0" applyFont="1"/>
    <xf numFmtId="164" fontId="22" fillId="0" borderId="0" xfId="0" applyFont="1" applyAlignment="1">
      <alignment wrapText="1"/>
    </xf>
    <xf numFmtId="164" fontId="22" fillId="0" borderId="0" xfId="0" applyFont="1" applyBorder="1" applyAlignment="1">
      <alignment horizontal="left" vertical="top"/>
    </xf>
    <xf numFmtId="164" fontId="22" fillId="0" borderId="0" xfId="0" applyFont="1" applyBorder="1" applyAlignment="1">
      <alignment vertical="top"/>
    </xf>
    <xf numFmtId="164" fontId="37" fillId="0" borderId="0" xfId="0" applyFont="1"/>
    <xf numFmtId="164" fontId="34" fillId="3" borderId="0" xfId="0" applyFont="1" applyFill="1" applyBorder="1" applyAlignment="1">
      <alignment vertical="top" wrapText="1"/>
    </xf>
    <xf numFmtId="166" fontId="4" fillId="0" borderId="0" xfId="1" applyNumberFormat="1" applyFont="1" applyBorder="1" applyAlignment="1">
      <alignment horizontal="left" vertical="top"/>
    </xf>
    <xf numFmtId="164" fontId="37" fillId="0" borderId="0" xfId="0" applyFont="1" applyAlignment="1">
      <alignment wrapText="1"/>
    </xf>
    <xf numFmtId="164" fontId="1" fillId="8" borderId="10" xfId="1" applyFont="1" applyFill="1" applyBorder="1" applyAlignment="1">
      <alignment horizontal="center" vertical="center" wrapText="1"/>
    </xf>
    <xf numFmtId="164" fontId="1" fillId="4" borderId="10" xfId="21" applyBorder="1">
      <alignment vertical="center" wrapText="1"/>
    </xf>
    <xf numFmtId="164" fontId="1" fillId="4" borderId="10" xfId="21" applyBorder="1" applyAlignment="1">
      <alignment horizontal="left" vertical="center" wrapText="1"/>
    </xf>
    <xf numFmtId="164" fontId="1" fillId="4" borderId="10" xfId="2" applyBorder="1" applyAlignment="1">
      <alignment horizontal="left" vertical="top" wrapText="1"/>
    </xf>
    <xf numFmtId="164" fontId="1" fillId="3" borderId="1" xfId="22" applyFont="1" applyFill="1" applyBorder="1" applyAlignment="1">
      <alignment horizontal="left" vertical="top"/>
    </xf>
    <xf numFmtId="0" fontId="1" fillId="3" borderId="1" xfId="22" applyNumberFormat="1" applyFont="1" applyFill="1" applyBorder="1" applyAlignment="1">
      <alignment horizontal="center" vertical="top"/>
    </xf>
    <xf numFmtId="0" fontId="1" fillId="0" borderId="0" xfId="0" applyNumberFormat="1" applyFont="1" applyBorder="1" applyAlignment="1">
      <alignment horizontal="center" vertical="top"/>
    </xf>
    <xf numFmtId="0" fontId="22" fillId="0" borderId="0" xfId="0" applyNumberFormat="1" applyFont="1" applyBorder="1" applyAlignment="1">
      <alignment horizontal="left" vertical="top"/>
    </xf>
    <xf numFmtId="0" fontId="22" fillId="0" borderId="0" xfId="0" applyNumberFormat="1" applyFont="1" applyBorder="1" applyAlignment="1">
      <alignment vertical="top"/>
    </xf>
    <xf numFmtId="0" fontId="15" fillId="3" borderId="0" xfId="1" applyNumberFormat="1" applyFont="1" applyFill="1" applyAlignment="1">
      <alignment horizontal="right" vertical="top"/>
    </xf>
    <xf numFmtId="0" fontId="0" fillId="0" borderId="0" xfId="0" applyNumberFormat="1" applyBorder="1"/>
    <xf numFmtId="0" fontId="34" fillId="3" borderId="0" xfId="0" applyNumberFormat="1" applyFont="1" applyFill="1" applyBorder="1" applyAlignment="1">
      <alignment vertical="top" wrapText="1"/>
    </xf>
    <xf numFmtId="0" fontId="37" fillId="0" borderId="2" xfId="0" applyNumberFormat="1" applyFont="1" applyBorder="1" applyAlignment="1">
      <alignment horizontal="center" vertical="top"/>
    </xf>
    <xf numFmtId="0" fontId="0" fillId="0" borderId="0" xfId="0" applyNumberFormat="1"/>
    <xf numFmtId="0" fontId="35" fillId="0" borderId="0" xfId="0" applyNumberFormat="1" applyFont="1"/>
    <xf numFmtId="0" fontId="0" fillId="0" borderId="6" xfId="0" applyNumberFormat="1" applyBorder="1"/>
    <xf numFmtId="0" fontId="0" fillId="0" borderId="0" xfId="0" applyNumberFormat="1" applyBorder="1" applyAlignment="1"/>
    <xf numFmtId="0" fontId="37" fillId="0" borderId="5" xfId="0" applyNumberFormat="1" applyFont="1" applyBorder="1" applyAlignment="1">
      <alignment horizontal="left" vertical="top"/>
    </xf>
    <xf numFmtId="0" fontId="36" fillId="2" borderId="2" xfId="0" applyNumberFormat="1" applyFont="1" applyFill="1" applyBorder="1" applyAlignment="1">
      <alignment horizontal="center" vertical="top"/>
    </xf>
    <xf numFmtId="0" fontId="36" fillId="2" borderId="2" xfId="0" applyNumberFormat="1" applyFont="1" applyFill="1" applyBorder="1" applyAlignment="1">
      <alignment horizontal="left" vertical="top"/>
    </xf>
    <xf numFmtId="0" fontId="37" fillId="0" borderId="0" xfId="0" applyNumberFormat="1" applyFont="1"/>
    <xf numFmtId="164" fontId="37" fillId="0" borderId="10" xfId="0" applyFont="1" applyFill="1" applyBorder="1" applyAlignment="1">
      <alignment horizontal="left" vertical="top"/>
    </xf>
    <xf numFmtId="164" fontId="37" fillId="0" borderId="10" xfId="0" applyFont="1" applyBorder="1" applyAlignment="1">
      <alignment horizontal="left" vertical="top"/>
    </xf>
    <xf numFmtId="164" fontId="37" fillId="0" borderId="10" xfId="0" applyFont="1" applyFill="1" applyBorder="1" applyAlignment="1">
      <alignment horizontal="left" vertical="top" wrapText="1"/>
    </xf>
    <xf numFmtId="164" fontId="37" fillId="0" borderId="10" xfId="0" applyFont="1" applyBorder="1" applyAlignment="1">
      <alignment horizontal="left" vertical="top" wrapText="1"/>
    </xf>
    <xf numFmtId="0" fontId="36" fillId="2" borderId="10" xfId="0" applyNumberFormat="1" applyFont="1" applyFill="1" applyBorder="1" applyAlignment="1">
      <alignment horizontal="center" vertical="top"/>
    </xf>
    <xf numFmtId="0" fontId="37" fillId="0" borderId="10" xfId="0" applyNumberFormat="1" applyFont="1" applyBorder="1"/>
    <xf numFmtId="0" fontId="37" fillId="0" borderId="10" xfId="0" applyNumberFormat="1" applyFont="1" applyBorder="1" applyAlignment="1">
      <alignment horizontal="center" vertical="top"/>
    </xf>
    <xf numFmtId="0" fontId="37" fillId="0" borderId="10" xfId="0" applyNumberFormat="1" applyFont="1" applyBorder="1" applyAlignment="1">
      <alignment vertical="top"/>
    </xf>
    <xf numFmtId="0" fontId="36" fillId="2" borderId="10" xfId="0" applyNumberFormat="1" applyFont="1" applyFill="1" applyBorder="1" applyAlignment="1">
      <alignment horizontal="center"/>
    </xf>
    <xf numFmtId="0" fontId="37" fillId="0" borderId="10" xfId="0" applyNumberFormat="1" applyFont="1" applyBorder="1" applyAlignment="1">
      <alignment horizontal="center"/>
    </xf>
    <xf numFmtId="0" fontId="37" fillId="0" borderId="10" xfId="0" applyNumberFormat="1" applyFont="1" applyBorder="1" applyAlignment="1">
      <alignment horizontal="center" vertical="center"/>
    </xf>
    <xf numFmtId="0" fontId="36" fillId="2" borderId="10" xfId="0" applyNumberFormat="1" applyFont="1" applyFill="1" applyBorder="1" applyAlignment="1">
      <alignment horizontal="center" vertical="center"/>
    </xf>
    <xf numFmtId="0" fontId="37" fillId="0" borderId="10" xfId="0" applyNumberFormat="1" applyFont="1" applyBorder="1" applyAlignment="1">
      <alignment horizontal="left" vertical="top"/>
    </xf>
    <xf numFmtId="0" fontId="6" fillId="2" borderId="10" xfId="22" applyNumberFormat="1" applyFont="1" applyFill="1" applyBorder="1" applyAlignment="1">
      <alignment horizontal="center" vertical="top"/>
    </xf>
    <xf numFmtId="0" fontId="24" fillId="19" borderId="10" xfId="22" applyNumberFormat="1" applyFont="1" applyFill="1" applyBorder="1" applyAlignment="1">
      <alignment horizontal="center" vertical="top"/>
    </xf>
    <xf numFmtId="0" fontId="24" fillId="18" borderId="10" xfId="23" applyNumberFormat="1" applyFont="1" applyFill="1" applyBorder="1" applyAlignment="1">
      <alignment horizontal="center" vertical="top" wrapText="1"/>
    </xf>
    <xf numFmtId="164" fontId="27" fillId="0" borderId="10" xfId="0" applyFont="1" applyBorder="1" applyAlignment="1">
      <alignment horizontal="center" vertical="top"/>
    </xf>
    <xf numFmtId="10" fontId="27" fillId="0" borderId="10" xfId="0" applyNumberFormat="1" applyFont="1" applyBorder="1" applyAlignment="1">
      <alignment horizontal="center" vertical="top"/>
    </xf>
    <xf numFmtId="0" fontId="22" fillId="0" borderId="0" xfId="0" applyNumberFormat="1" applyFont="1" applyBorder="1" applyAlignment="1">
      <alignment horizontal="center" vertical="top"/>
    </xf>
    <xf numFmtId="0" fontId="1" fillId="16" borderId="10" xfId="22" applyNumberFormat="1" applyFont="1" applyFill="1" applyBorder="1" applyAlignment="1">
      <alignment horizontal="center" vertical="top"/>
    </xf>
    <xf numFmtId="0" fontId="29" fillId="0" borderId="0" xfId="0" applyNumberFormat="1" applyFont="1" applyBorder="1" applyAlignment="1">
      <alignment horizontal="center" vertical="top"/>
    </xf>
    <xf numFmtId="0" fontId="25" fillId="0" borderId="10" xfId="0" applyNumberFormat="1" applyFont="1" applyBorder="1" applyAlignment="1">
      <alignment horizontal="center" vertical="top"/>
    </xf>
    <xf numFmtId="164" fontId="31" fillId="0" borderId="10" xfId="0" applyFont="1" applyBorder="1"/>
    <xf numFmtId="0" fontId="1" fillId="4" borderId="10" xfId="21" quotePrefix="1" applyNumberFormat="1" applyBorder="1" applyAlignment="1">
      <alignment horizontal="left" vertical="top" wrapText="1" indent="1"/>
    </xf>
    <xf numFmtId="0" fontId="1" fillId="0" borderId="10" xfId="1" applyNumberFormat="1" applyFont="1" applyBorder="1" applyAlignment="1">
      <alignment horizontal="left" vertical="top" wrapText="1" indent="1"/>
    </xf>
    <xf numFmtId="164" fontId="6" fillId="2" borderId="10" xfId="22" applyFont="1" applyFill="1" applyBorder="1" applyAlignment="1">
      <alignment horizontal="center" vertical="top"/>
    </xf>
    <xf numFmtId="164" fontId="24" fillId="18" borderId="10" xfId="23" applyFont="1" applyFill="1" applyBorder="1" applyAlignment="1">
      <alignment horizontal="center" vertical="top" wrapText="1"/>
    </xf>
    <xf numFmtId="164" fontId="28" fillId="0" borderId="0" xfId="0" applyFont="1" applyBorder="1" applyAlignment="1">
      <alignment horizontal="left" vertical="top" wrapText="1"/>
    </xf>
    <xf numFmtId="167" fontId="1" fillId="4" borderId="10" xfId="21" applyNumberFormat="1" applyBorder="1" applyAlignment="1">
      <alignment horizontal="left" vertical="center" wrapText="1"/>
    </xf>
    <xf numFmtId="167" fontId="1" fillId="4" borderId="10" xfId="2" applyNumberFormat="1" applyBorder="1" applyAlignment="1">
      <alignment horizontal="left" vertical="top" wrapText="1"/>
    </xf>
    <xf numFmtId="164" fontId="39" fillId="0" borderId="10" xfId="0" applyFont="1" applyBorder="1" applyAlignment="1">
      <alignment horizontal="center" vertical="top" wrapText="1"/>
    </xf>
    <xf numFmtId="164" fontId="39" fillId="20" borderId="10" xfId="0" applyFont="1" applyFill="1" applyBorder="1" applyAlignment="1">
      <alignment horizontal="center" vertical="top" wrapText="1"/>
    </xf>
    <xf numFmtId="164" fontId="40" fillId="0" borderId="10" xfId="0" applyFont="1" applyBorder="1" applyAlignment="1">
      <alignment vertical="top" wrapText="1"/>
    </xf>
    <xf numFmtId="49" fontId="38" fillId="0" borderId="10" xfId="19" applyNumberFormat="1" applyFont="1" applyBorder="1" applyAlignment="1">
      <alignment horizontal="left" vertical="top" wrapText="1"/>
    </xf>
    <xf numFmtId="49" fontId="40" fillId="0" borderId="10" xfId="0" applyNumberFormat="1" applyFont="1" applyBorder="1" applyAlignment="1">
      <alignment horizontal="left" vertical="top" wrapText="1"/>
    </xf>
    <xf numFmtId="22" fontId="40" fillId="0" borderId="10" xfId="0" applyNumberFormat="1" applyFont="1" applyBorder="1" applyAlignment="1">
      <alignment vertical="top" wrapText="1"/>
    </xf>
    <xf numFmtId="164" fontId="38" fillId="0" borderId="10" xfId="19" applyFont="1" applyBorder="1" applyAlignment="1">
      <alignment vertical="top" wrapText="1"/>
    </xf>
    <xf numFmtId="9" fontId="40" fillId="0" borderId="10" xfId="0" applyNumberFormat="1" applyFont="1" applyBorder="1" applyAlignment="1">
      <alignment vertical="top" wrapText="1"/>
    </xf>
    <xf numFmtId="164" fontId="39" fillId="21" borderId="10" xfId="0" applyFont="1" applyFill="1" applyBorder="1" applyAlignment="1">
      <alignment horizontal="center" vertical="top" wrapText="1"/>
    </xf>
    <xf numFmtId="167" fontId="40" fillId="0" borderId="10" xfId="0" applyNumberFormat="1" applyFont="1" applyBorder="1" applyAlignment="1">
      <alignment vertical="top" wrapText="1"/>
    </xf>
    <xf numFmtId="164" fontId="41" fillId="0" borderId="0" xfId="0" applyFont="1" applyBorder="1" applyAlignment="1">
      <alignment horizontal="left" vertical="center"/>
    </xf>
    <xf numFmtId="164" fontId="1" fillId="0" borderId="0" xfId="0" applyNumberFormat="1" applyFont="1" applyBorder="1" applyAlignment="1">
      <alignment vertical="top"/>
    </xf>
    <xf numFmtId="164" fontId="43" fillId="0" borderId="0" xfId="0" applyFont="1" applyFill="1" applyBorder="1" applyAlignment="1">
      <alignment vertical="center"/>
    </xf>
    <xf numFmtId="164" fontId="16" fillId="0" borderId="0" xfId="0" applyFont="1" applyFill="1" applyBorder="1" applyAlignment="1">
      <alignment vertical="center"/>
    </xf>
    <xf numFmtId="164" fontId="43" fillId="0" borderId="0" xfId="22" applyFont="1"/>
    <xf numFmtId="164" fontId="15" fillId="0" borderId="0" xfId="22" applyFont="1"/>
    <xf numFmtId="164" fontId="43" fillId="0" borderId="0" xfId="0" applyFont="1"/>
    <xf numFmtId="164" fontId="25" fillId="0" borderId="1" xfId="0" applyFont="1" applyBorder="1" applyAlignment="1">
      <alignment horizontal="left" vertical="top"/>
    </xf>
    <xf numFmtId="164" fontId="25" fillId="0" borderId="1" xfId="0" applyFont="1" applyBorder="1" applyAlignment="1">
      <alignment horizontal="left" vertical="top" wrapText="1"/>
    </xf>
    <xf numFmtId="164" fontId="1" fillId="0" borderId="0" xfId="0" applyFont="1" applyBorder="1" applyAlignment="1">
      <alignment vertical="top"/>
    </xf>
    <xf numFmtId="0" fontId="1" fillId="0" borderId="0" xfId="0" applyNumberFormat="1" applyFont="1" applyBorder="1" applyAlignment="1">
      <alignment horizontal="right" vertical="top"/>
    </xf>
    <xf numFmtId="0" fontId="1" fillId="0" borderId="0" xfId="0" applyNumberFormat="1" applyFont="1" applyBorder="1" applyAlignment="1">
      <alignment vertical="top"/>
    </xf>
    <xf numFmtId="164" fontId="13" fillId="0" borderId="0" xfId="0" applyFont="1" applyBorder="1" applyAlignment="1">
      <alignment horizontal="right" vertical="top"/>
    </xf>
    <xf numFmtId="0" fontId="14" fillId="0" borderId="0" xfId="0" applyNumberFormat="1" applyFont="1" applyFill="1" applyBorder="1" applyAlignment="1">
      <alignment vertical="top"/>
    </xf>
    <xf numFmtId="164" fontId="22" fillId="0" borderId="0" xfId="0" applyFont="1" applyBorder="1" applyAlignment="1">
      <alignment vertical="top" wrapText="1"/>
    </xf>
    <xf numFmtId="0" fontId="22" fillId="0" borderId="0" xfId="0" applyNumberFormat="1" applyFont="1" applyBorder="1" applyAlignment="1">
      <alignment vertical="top" wrapText="1"/>
    </xf>
    <xf numFmtId="164" fontId="0" fillId="0" borderId="0" xfId="0" applyBorder="1" applyAlignment="1">
      <alignment vertical="top"/>
    </xf>
    <xf numFmtId="164" fontId="0" fillId="0" borderId="0" xfId="0" applyBorder="1" applyAlignment="1">
      <alignment vertical="top" wrapText="1"/>
    </xf>
    <xf numFmtId="0" fontId="0" fillId="0" borderId="0" xfId="0" applyNumberFormat="1" applyBorder="1" applyAlignment="1">
      <alignment vertical="top"/>
    </xf>
    <xf numFmtId="0" fontId="0" fillId="0" borderId="0" xfId="0" applyNumberFormat="1" applyBorder="1" applyAlignment="1">
      <alignment vertical="top" wrapText="1"/>
    </xf>
    <xf numFmtId="0" fontId="25" fillId="0" borderId="1" xfId="0" applyNumberFormat="1" applyFont="1" applyBorder="1" applyAlignment="1">
      <alignment horizontal="left" vertical="top"/>
    </xf>
    <xf numFmtId="164" fontId="25" fillId="0" borderId="1" xfId="0" applyFont="1" applyBorder="1" applyAlignment="1">
      <alignment vertical="top"/>
    </xf>
    <xf numFmtId="164" fontId="25" fillId="0" borderId="1" xfId="0" applyFont="1" applyBorder="1" applyAlignment="1">
      <alignment vertical="top" wrapText="1"/>
    </xf>
    <xf numFmtId="164" fontId="46" fillId="0" borderId="1" xfId="0" applyFont="1" applyBorder="1" applyAlignment="1">
      <alignment vertical="top"/>
    </xf>
    <xf numFmtId="0" fontId="25" fillId="0" borderId="1" xfId="0" applyNumberFormat="1" applyFont="1" applyBorder="1" applyAlignment="1">
      <alignment vertical="top"/>
    </xf>
    <xf numFmtId="0" fontId="25" fillId="0" borderId="1" xfId="0" applyNumberFormat="1" applyFont="1" applyBorder="1" applyAlignment="1">
      <alignment vertical="top" wrapText="1"/>
    </xf>
    <xf numFmtId="164" fontId="25" fillId="0" borderId="0" xfId="0" applyFont="1" applyBorder="1" applyAlignment="1">
      <alignment vertical="top"/>
    </xf>
    <xf numFmtId="0" fontId="25" fillId="0" borderId="0" xfId="0" applyNumberFormat="1" applyFont="1" applyBorder="1" applyAlignment="1">
      <alignment vertical="top"/>
    </xf>
    <xf numFmtId="164" fontId="26" fillId="0" borderId="0" xfId="0" applyFont="1" applyBorder="1" applyAlignment="1">
      <alignment horizontal="justify" vertical="top" wrapText="1"/>
    </xf>
    <xf numFmtId="164" fontId="26" fillId="0" borderId="0" xfId="0" applyFont="1" applyBorder="1" applyAlignment="1">
      <alignment vertical="top" wrapText="1"/>
    </xf>
    <xf numFmtId="164" fontId="27" fillId="0" borderId="0" xfId="0" applyFont="1" applyBorder="1" applyAlignment="1">
      <alignment vertical="top"/>
    </xf>
    <xf numFmtId="164" fontId="28" fillId="0" borderId="0" xfId="0" applyFont="1" applyBorder="1" applyAlignment="1">
      <alignment horizontal="justify" vertical="top" wrapText="1"/>
    </xf>
    <xf numFmtId="164" fontId="28" fillId="0" borderId="0" xfId="0" applyFont="1" applyBorder="1" applyAlignment="1">
      <alignment vertical="top" wrapText="1"/>
    </xf>
    <xf numFmtId="0" fontId="28" fillId="0" borderId="0" xfId="0" applyNumberFormat="1" applyFont="1" applyBorder="1" applyAlignment="1">
      <alignment horizontal="justify" vertical="top" wrapText="1"/>
    </xf>
    <xf numFmtId="10" fontId="27" fillId="0" borderId="0" xfId="0" applyNumberFormat="1" applyFont="1" applyBorder="1" applyAlignment="1">
      <alignment vertical="top"/>
    </xf>
    <xf numFmtId="49" fontId="1" fillId="16" borderId="10" xfId="22" applyNumberFormat="1" applyFont="1" applyFill="1" applyBorder="1" applyAlignment="1">
      <alignment horizontal="left" vertical="top"/>
    </xf>
    <xf numFmtId="164" fontId="22" fillId="0" borderId="10" xfId="0" applyFont="1" applyBorder="1" applyAlignment="1">
      <alignment vertical="top"/>
    </xf>
    <xf numFmtId="49" fontId="25" fillId="6" borderId="10" xfId="22" applyNumberFormat="1" applyFont="1" applyFill="1" applyBorder="1" applyAlignment="1">
      <alignment vertical="top"/>
    </xf>
    <xf numFmtId="164" fontId="1" fillId="16" borderId="10" xfId="22" applyNumberFormat="1" applyFont="1" applyFill="1" applyBorder="1" applyAlignment="1">
      <alignment horizontal="center" vertical="top"/>
    </xf>
    <xf numFmtId="9" fontId="1" fillId="16" borderId="10" xfId="22" applyNumberFormat="1" applyFont="1" applyFill="1" applyBorder="1" applyAlignment="1">
      <alignment horizontal="center" vertical="top"/>
    </xf>
    <xf numFmtId="164" fontId="25" fillId="0" borderId="10" xfId="22" applyFont="1" applyFill="1" applyBorder="1" applyAlignment="1">
      <alignment vertical="top"/>
    </xf>
    <xf numFmtId="10" fontId="22" fillId="0" borderId="0" xfId="0" applyNumberFormat="1" applyFont="1" applyBorder="1" applyAlignment="1">
      <alignment vertical="top"/>
    </xf>
    <xf numFmtId="164" fontId="4" fillId="5" borderId="10" xfId="1" applyFont="1" applyFill="1" applyBorder="1" applyAlignment="1">
      <alignment horizontal="center" vertical="top" wrapText="1"/>
    </xf>
    <xf numFmtId="166" fontId="1" fillId="0" borderId="10" xfId="1" applyNumberFormat="1" applyFont="1" applyBorder="1" applyAlignment="1">
      <alignment horizontal="left" vertical="top"/>
    </xf>
    <xf numFmtId="166" fontId="1" fillId="0" borderId="0" xfId="1" applyNumberFormat="1" applyFont="1" applyBorder="1" applyAlignment="1">
      <alignment horizontal="left" vertical="top"/>
    </xf>
    <xf numFmtId="164" fontId="25" fillId="0" borderId="0" xfId="0" applyFont="1" applyBorder="1" applyAlignment="1">
      <alignment horizontal="center" vertical="top"/>
    </xf>
    <xf numFmtId="166" fontId="1" fillId="0" borderId="0" xfId="1" applyNumberFormat="1" applyBorder="1" applyAlignment="1">
      <alignment vertical="top"/>
    </xf>
    <xf numFmtId="164" fontId="17" fillId="3" borderId="0" xfId="0" applyFont="1" applyFill="1" applyBorder="1" applyAlignment="1">
      <alignment vertical="top" wrapText="1"/>
    </xf>
    <xf numFmtId="164" fontId="45" fillId="3" borderId="0" xfId="0" applyFont="1" applyFill="1" applyBorder="1" applyAlignment="1">
      <alignment vertical="top"/>
    </xf>
    <xf numFmtId="164" fontId="42" fillId="3" borderId="0" xfId="0" applyFont="1" applyFill="1" applyBorder="1" applyAlignment="1">
      <alignment vertical="top" wrapText="1"/>
    </xf>
    <xf numFmtId="164" fontId="25" fillId="0" borderId="16" xfId="0" applyFont="1" applyBorder="1" applyAlignment="1">
      <alignment vertical="top"/>
    </xf>
    <xf numFmtId="0" fontId="41" fillId="0" borderId="0" xfId="0" applyNumberFormat="1" applyFont="1"/>
    <xf numFmtId="0" fontId="0" fillId="0" borderId="17" xfId="0" applyNumberFormat="1" applyBorder="1"/>
    <xf numFmtId="0" fontId="0" fillId="0" borderId="18" xfId="0" applyNumberFormat="1" applyBorder="1"/>
    <xf numFmtId="0" fontId="0" fillId="0" borderId="19" xfId="0" applyNumberFormat="1" applyBorder="1"/>
    <xf numFmtId="0" fontId="0" fillId="0" borderId="21" xfId="0" applyNumberFormat="1" applyBorder="1"/>
    <xf numFmtId="0" fontId="0" fillId="0" borderId="20" xfId="0" applyNumberFormat="1" applyBorder="1"/>
    <xf numFmtId="0" fontId="0" fillId="0" borderId="22" xfId="0" applyNumberFormat="1" applyBorder="1"/>
    <xf numFmtId="0" fontId="0" fillId="0" borderId="23" xfId="0" applyNumberFormat="1" applyBorder="1"/>
    <xf numFmtId="0" fontId="0" fillId="0" borderId="24" xfId="0" applyNumberFormat="1" applyBorder="1"/>
    <xf numFmtId="0" fontId="0" fillId="0" borderId="25" xfId="0" applyNumberFormat="1" applyBorder="1"/>
    <xf numFmtId="10" fontId="1" fillId="22" borderId="10" xfId="24" applyNumberFormat="1" applyFont="1" applyFill="1" applyBorder="1" applyAlignment="1">
      <alignment vertical="top"/>
    </xf>
    <xf numFmtId="10" fontId="27" fillId="22" borderId="10" xfId="0" applyNumberFormat="1" applyFont="1" applyFill="1" applyBorder="1" applyAlignment="1">
      <alignment horizontal="center" vertical="top"/>
    </xf>
    <xf numFmtId="164" fontId="1" fillId="0" borderId="1" xfId="0" applyFont="1" applyBorder="1" applyAlignment="1">
      <alignment horizontal="left" vertical="top"/>
    </xf>
    <xf numFmtId="0" fontId="1" fillId="22" borderId="1" xfId="22" applyNumberFormat="1" applyFont="1" applyFill="1" applyBorder="1" applyAlignment="1">
      <alignment horizontal="center"/>
    </xf>
    <xf numFmtId="10" fontId="1" fillId="22" borderId="1" xfId="20" applyNumberFormat="1" applyFont="1" applyFill="1" applyBorder="1" applyAlignment="1">
      <alignment horizontal="center"/>
    </xf>
    <xf numFmtId="0" fontId="25" fillId="22" borderId="1" xfId="0" applyNumberFormat="1" applyFont="1" applyFill="1" applyBorder="1" applyAlignment="1">
      <alignment horizontal="center" vertical="top"/>
    </xf>
    <xf numFmtId="10" fontId="25" fillId="22" borderId="1" xfId="20" applyNumberFormat="1" applyFont="1" applyFill="1" applyBorder="1" applyAlignment="1">
      <alignment horizontal="center" vertical="top"/>
    </xf>
    <xf numFmtId="164" fontId="1" fillId="0" borderId="10" xfId="1" applyFont="1" applyBorder="1" applyAlignment="1">
      <alignment horizontal="left" vertical="top" wrapText="1"/>
    </xf>
    <xf numFmtId="164" fontId="46" fillId="0" borderId="10" xfId="0" applyFont="1" applyBorder="1" applyAlignment="1">
      <alignment horizontal="left" vertical="top" wrapText="1"/>
    </xf>
    <xf numFmtId="164" fontId="26" fillId="0" borderId="10" xfId="0" applyFont="1" applyBorder="1" applyAlignment="1">
      <alignment horizontal="left" vertical="top" wrapText="1"/>
    </xf>
    <xf numFmtId="164" fontId="3" fillId="2" borderId="10" xfId="1" applyFont="1" applyFill="1" applyBorder="1" applyAlignment="1">
      <alignment horizontal="left" vertical="top" wrapText="1"/>
    </xf>
    <xf numFmtId="164" fontId="1" fillId="8" borderId="10" xfId="1" applyFont="1" applyFill="1" applyBorder="1" applyAlignment="1">
      <alignment horizontal="center" vertical="center" wrapText="1"/>
    </xf>
    <xf numFmtId="164" fontId="1" fillId="4" borderId="10" xfId="21" applyBorder="1" applyAlignment="1">
      <alignment horizontal="left" vertical="top" wrapText="1"/>
    </xf>
    <xf numFmtId="164" fontId="1" fillId="0" borderId="10" xfId="21" applyFill="1" applyBorder="1" applyAlignment="1">
      <alignment horizontal="left" vertical="top" wrapText="1"/>
    </xf>
    <xf numFmtId="164" fontId="1" fillId="0" borderId="10" xfId="3" quotePrefix="1" applyFont="1" applyBorder="1" applyAlignment="1">
      <alignment horizontal="left" vertical="top" wrapText="1"/>
    </xf>
    <xf numFmtId="164" fontId="1" fillId="0" borderId="10" xfId="3" applyFont="1" applyBorder="1" applyAlignment="1">
      <alignment horizontal="left" vertical="top" wrapText="1"/>
    </xf>
    <xf numFmtId="164" fontId="1" fillId="0" borderId="10" xfId="1" applyFont="1" applyBorder="1" applyAlignment="1">
      <alignment horizontal="left" vertical="top" wrapText="1"/>
    </xf>
    <xf numFmtId="164" fontId="38" fillId="4" borderId="10" xfId="19" applyFont="1" applyFill="1" applyBorder="1" applyAlignment="1">
      <alignment horizontal="left" vertical="top" wrapText="1"/>
    </xf>
    <xf numFmtId="164" fontId="22" fillId="0" borderId="0" xfId="0" applyFont="1" applyAlignment="1">
      <alignment horizontal="left" vertical="top" wrapText="1"/>
    </xf>
    <xf numFmtId="164" fontId="22" fillId="0" borderId="0" xfId="0" applyFont="1" applyAlignment="1">
      <alignment horizontal="left" vertical="top"/>
    </xf>
    <xf numFmtId="164" fontId="42" fillId="7" borderId="0" xfId="0" applyFont="1" applyFill="1" applyBorder="1" applyAlignment="1">
      <alignment horizontal="center" vertical="center"/>
    </xf>
    <xf numFmtId="164" fontId="12" fillId="14" borderId="0" xfId="0" applyFont="1" applyFill="1" applyBorder="1" applyAlignment="1">
      <alignment horizontal="center" vertical="center"/>
    </xf>
    <xf numFmtId="164" fontId="22" fillId="0" borderId="0" xfId="0" quotePrefix="1" applyFont="1" applyAlignment="1">
      <alignment horizontal="left" vertical="top" wrapText="1"/>
    </xf>
    <xf numFmtId="164" fontId="44" fillId="0" borderId="0" xfId="0" quotePrefix="1" applyFont="1" applyAlignment="1">
      <alignment horizontal="left" vertical="top" wrapText="1"/>
    </xf>
    <xf numFmtId="164" fontId="44" fillId="0" borderId="0" xfId="0" applyFont="1" applyAlignment="1">
      <alignment horizontal="left" vertical="top" wrapText="1"/>
    </xf>
    <xf numFmtId="164" fontId="45" fillId="7" borderId="0" xfId="0" applyFont="1" applyFill="1" applyBorder="1" applyAlignment="1">
      <alignment horizontal="center" vertical="top"/>
    </xf>
    <xf numFmtId="164" fontId="3" fillId="2" borderId="1" xfId="1" applyFont="1" applyFill="1" applyBorder="1" applyAlignment="1">
      <alignment horizontal="center" vertical="center" wrapText="1"/>
    </xf>
    <xf numFmtId="164" fontId="30" fillId="17" borderId="7" xfId="0" applyFont="1" applyFill="1" applyBorder="1" applyAlignment="1">
      <alignment vertical="top" wrapText="1"/>
    </xf>
    <xf numFmtId="164" fontId="30" fillId="17" borderId="8" xfId="0" applyFont="1" applyFill="1" applyBorder="1" applyAlignment="1">
      <alignment vertical="top" wrapText="1"/>
    </xf>
    <xf numFmtId="164" fontId="30" fillId="17" borderId="9" xfId="0" applyFont="1" applyFill="1" applyBorder="1" applyAlignment="1">
      <alignment vertical="top" wrapText="1"/>
    </xf>
    <xf numFmtId="164" fontId="18" fillId="0" borderId="11" xfId="19" applyBorder="1" applyAlignment="1">
      <alignment vertical="top" wrapText="1"/>
    </xf>
    <xf numFmtId="164" fontId="18" fillId="0" borderId="12" xfId="19" applyBorder="1" applyAlignment="1">
      <alignment vertical="top" wrapText="1"/>
    </xf>
    <xf numFmtId="164" fontId="18" fillId="0" borderId="13" xfId="19" applyBorder="1" applyAlignment="1">
      <alignment vertical="top" wrapText="1"/>
    </xf>
    <xf numFmtId="164" fontId="30" fillId="0" borderId="10" xfId="0" applyFont="1" applyBorder="1" applyAlignment="1">
      <alignment vertical="top" wrapText="1"/>
    </xf>
    <xf numFmtId="164" fontId="46" fillId="0" borderId="10" xfId="0" applyFont="1" applyBorder="1" applyAlignment="1">
      <alignment horizontal="left" vertical="top" wrapText="1"/>
    </xf>
    <xf numFmtId="164" fontId="13" fillId="0" borderId="0" xfId="0" applyFont="1" applyBorder="1" applyAlignment="1">
      <alignment horizontal="right" vertical="top"/>
    </xf>
    <xf numFmtId="164" fontId="6" fillId="2" borderId="10" xfId="22" applyFont="1" applyFill="1" applyBorder="1" applyAlignment="1">
      <alignment horizontal="center" vertical="top"/>
    </xf>
    <xf numFmtId="164" fontId="24" fillId="18" borderId="10" xfId="23" applyFont="1" applyFill="1" applyBorder="1" applyAlignment="1">
      <alignment horizontal="center" vertical="top" wrapText="1"/>
    </xf>
    <xf numFmtId="164" fontId="28" fillId="0" borderId="0" xfId="0" applyFont="1" applyBorder="1" applyAlignment="1">
      <alignment horizontal="left" vertical="top" wrapText="1"/>
    </xf>
    <xf numFmtId="164" fontId="12" fillId="14" borderId="0" xfId="0" applyFont="1" applyFill="1" applyBorder="1" applyAlignment="1">
      <alignment horizontal="center" vertical="top"/>
    </xf>
    <xf numFmtId="164" fontId="13" fillId="0" borderId="0" xfId="0" applyFont="1" applyBorder="1" applyAlignment="1">
      <alignment horizontal="left" vertical="top"/>
    </xf>
    <xf numFmtId="0" fontId="5" fillId="2" borderId="10" xfId="0" applyNumberFormat="1" applyFont="1" applyFill="1" applyBorder="1" applyAlignment="1">
      <alignment horizontal="center" vertical="top" wrapText="1"/>
    </xf>
    <xf numFmtId="164" fontId="26" fillId="0" borderId="10" xfId="0" applyFont="1" applyBorder="1" applyAlignment="1">
      <alignment horizontal="left" vertical="top" wrapText="1"/>
    </xf>
    <xf numFmtId="164" fontId="26" fillId="0" borderId="0" xfId="0" applyFont="1" applyBorder="1" applyAlignment="1">
      <alignment horizontal="left" vertical="top" wrapText="1"/>
    </xf>
    <xf numFmtId="0" fontId="37" fillId="0" borderId="10" xfId="0" applyNumberFormat="1" applyFont="1" applyBorder="1" applyAlignment="1">
      <alignment horizontal="center" vertical="top"/>
    </xf>
    <xf numFmtId="0" fontId="37" fillId="0" borderId="10" xfId="0" applyNumberFormat="1" applyFont="1" applyBorder="1" applyAlignment="1">
      <alignment horizontal="center"/>
    </xf>
    <xf numFmtId="0" fontId="0" fillId="0" borderId="0" xfId="0" applyNumberFormat="1" applyBorder="1" applyAlignment="1">
      <alignment horizontal="center"/>
    </xf>
    <xf numFmtId="0" fontId="37" fillId="0" borderId="4" xfId="0" applyNumberFormat="1" applyFont="1" applyBorder="1" applyAlignment="1">
      <alignment horizontal="right" vertical="top"/>
    </xf>
    <xf numFmtId="0" fontId="37" fillId="0" borderId="5" xfId="0" applyNumberFormat="1" applyFont="1" applyBorder="1" applyAlignment="1">
      <alignment horizontal="right" vertical="top"/>
    </xf>
    <xf numFmtId="167" fontId="1" fillId="4" borderId="10" xfId="21" applyNumberFormat="1" applyBorder="1" applyAlignment="1">
      <alignment horizontal="left" vertical="top" wrapText="1"/>
    </xf>
    <xf numFmtId="165" fontId="1" fillId="4" borderId="10" xfId="21" quotePrefix="1" applyNumberFormat="1" applyBorder="1" applyAlignment="1">
      <alignment horizontal="left" vertical="top" wrapText="1"/>
    </xf>
    <xf numFmtId="164" fontId="6" fillId="2" borderId="14" xfId="0" applyFont="1" applyFill="1" applyBorder="1" applyAlignment="1">
      <alignment vertical="top"/>
    </xf>
    <xf numFmtId="164" fontId="6" fillId="2" borderId="15" xfId="0" applyFont="1" applyFill="1" applyBorder="1" applyAlignment="1">
      <alignment vertical="top"/>
    </xf>
    <xf numFmtId="164" fontId="6" fillId="2" borderId="1" xfId="0" applyFont="1" applyFill="1" applyBorder="1" applyAlignment="1">
      <alignment horizontal="left" vertical="top" wrapText="1"/>
    </xf>
    <xf numFmtId="164" fontId="6" fillId="2" borderId="1" xfId="0" applyFont="1" applyFill="1" applyBorder="1" applyAlignment="1">
      <alignment vertical="top" wrapText="1"/>
    </xf>
    <xf numFmtId="0" fontId="6" fillId="2" borderId="1" xfId="0" applyNumberFormat="1" applyFont="1" applyFill="1" applyBorder="1" applyAlignment="1">
      <alignment horizontal="right" vertical="top"/>
    </xf>
    <xf numFmtId="0" fontId="6" fillId="2" borderId="10" xfId="0" applyNumberFormat="1" applyFont="1" applyFill="1" applyBorder="1" applyAlignment="1">
      <alignment horizontal="center" vertical="top" wrapText="1"/>
    </xf>
    <xf numFmtId="164" fontId="6" fillId="2" borderId="10" xfId="0" applyFont="1" applyFill="1" applyBorder="1" applyAlignment="1">
      <alignment horizontal="left" vertical="top" wrapText="1"/>
    </xf>
    <xf numFmtId="0" fontId="1" fillId="16" borderId="10" xfId="22" applyNumberFormat="1" applyFont="1" applyFill="1" applyBorder="1" applyAlignment="1">
      <alignment horizontal="left" vertical="top"/>
    </xf>
    <xf numFmtId="0" fontId="6" fillId="2" borderId="10" xfId="0" applyNumberFormat="1" applyFont="1" applyFill="1" applyBorder="1" applyAlignment="1">
      <alignment horizontal="center" vertical="center" wrapText="1"/>
    </xf>
    <xf numFmtId="164" fontId="6" fillId="2" borderId="10" xfId="0" applyFont="1" applyFill="1" applyBorder="1" applyAlignment="1">
      <alignment horizontal="center" vertical="center" wrapText="1"/>
    </xf>
    <xf numFmtId="164" fontId="6" fillId="2" borderId="10" xfId="0" applyFont="1" applyFill="1" applyBorder="1" applyAlignment="1">
      <alignment horizontal="center" vertical="center" wrapText="1"/>
    </xf>
    <xf numFmtId="0" fontId="28" fillId="0" borderId="10" xfId="0" applyNumberFormat="1" applyFont="1" applyBorder="1" applyAlignment="1">
      <alignment horizontal="left" vertical="top" wrapText="1"/>
    </xf>
    <xf numFmtId="164" fontId="6" fillId="2" borderId="10" xfId="0" applyFont="1" applyFill="1" applyBorder="1" applyAlignment="1">
      <alignment horizontal="left" vertical="top" wrapText="1"/>
    </xf>
    <xf numFmtId="0" fontId="6" fillId="2" borderId="10" xfId="0" applyNumberFormat="1" applyFont="1" applyFill="1" applyBorder="1" applyAlignment="1">
      <alignment horizontal="left" vertical="top" wrapText="1"/>
    </xf>
    <xf numFmtId="164" fontId="28" fillId="0" borderId="10" xfId="0" applyFont="1" applyBorder="1" applyAlignment="1">
      <alignment horizontal="left" vertical="top" wrapText="1"/>
    </xf>
    <xf numFmtId="0" fontId="47" fillId="2" borderId="10" xfId="0" applyNumberFormat="1" applyFont="1" applyFill="1" applyBorder="1" applyAlignment="1">
      <alignment horizontal="center" vertical="top"/>
    </xf>
    <xf numFmtId="0" fontId="48" fillId="0" borderId="0" xfId="0" applyNumberFormat="1" applyFont="1" applyAlignment="1">
      <alignment horizontal="center" vertical="top"/>
    </xf>
    <xf numFmtId="0" fontId="47" fillId="2" borderId="10" xfId="0" applyNumberFormat="1" applyFont="1" applyFill="1" applyBorder="1" applyAlignment="1">
      <alignment horizontal="center" vertical="top"/>
    </xf>
    <xf numFmtId="0" fontId="37" fillId="22" borderId="10" xfId="0" applyNumberFormat="1" applyFont="1" applyFill="1" applyBorder="1" applyAlignment="1">
      <alignment horizontal="left" vertical="top"/>
    </xf>
    <xf numFmtId="0" fontId="37" fillId="15" borderId="10" xfId="0" applyNumberFormat="1" applyFont="1" applyFill="1" applyBorder="1" applyAlignment="1">
      <alignment horizontal="left" vertical="top"/>
    </xf>
    <xf numFmtId="0" fontId="37" fillId="6" borderId="10" xfId="0" applyNumberFormat="1" applyFont="1" applyFill="1" applyBorder="1" applyAlignment="1">
      <alignment horizontal="left" vertical="top"/>
    </xf>
    <xf numFmtId="0" fontId="37" fillId="6" borderId="26" xfId="0" applyNumberFormat="1" applyFont="1" applyFill="1" applyBorder="1" applyAlignment="1">
      <alignment horizontal="center" vertical="top"/>
    </xf>
    <xf numFmtId="0" fontId="37" fillId="6" borderId="27" xfId="0" applyNumberFormat="1" applyFont="1" applyFill="1" applyBorder="1" applyAlignment="1">
      <alignment horizontal="center" vertical="top"/>
    </xf>
    <xf numFmtId="0" fontId="37" fillId="6" borderId="28" xfId="0" applyNumberFormat="1" applyFont="1" applyFill="1" applyBorder="1" applyAlignment="1">
      <alignment horizontal="center" vertical="top"/>
    </xf>
    <xf numFmtId="164" fontId="47" fillId="2" borderId="10" xfId="0" applyFont="1" applyFill="1" applyBorder="1" applyAlignment="1">
      <alignment horizontal="center" vertical="top"/>
    </xf>
  </cellXfs>
  <cellStyles count="25">
    <cellStyle name="background" xfId="4"/>
    <cellStyle name="background 2" xfId="5"/>
    <cellStyle name="body_tyext" xfId="6"/>
    <cellStyle name="cell" xfId="7"/>
    <cellStyle name="document title" xfId="8"/>
    <cellStyle name="group" xfId="9"/>
    <cellStyle name="Header" xfId="10"/>
    <cellStyle name="Heading" xfId="11"/>
    <cellStyle name="Hyperlink" xfId="19" builtinId="8" customBuiltin="1"/>
    <cellStyle name="Normal" xfId="0" builtinId="0"/>
    <cellStyle name="Normal 2" xfId="1"/>
    <cellStyle name="Normal 2 2" xfId="3"/>
    <cellStyle name="Normal 4" xfId="22"/>
    <cellStyle name="Normal 6" xfId="12"/>
    <cellStyle name="Normal_Sheet1" xfId="23"/>
    <cellStyle name="page title" xfId="13"/>
    <cellStyle name="Paragrap title" xfId="14"/>
    <cellStyle name="Paragrap title 2" xfId="15"/>
    <cellStyle name="Percent" xfId="20" builtinId="5"/>
    <cellStyle name="Percent 2" xfId="24"/>
    <cellStyle name="Table header" xfId="16"/>
    <cellStyle name="Table header 2" xfId="17"/>
    <cellStyle name="table_cell" xfId="2"/>
    <cellStyle name="table_cell 2" xfId="21"/>
    <cellStyle name="標準_040802 債権ＤＢ" xfId="18"/>
  </cellStyles>
  <dxfs count="16">
    <dxf>
      <fill>
        <patternFill>
          <bgColor theme="8"/>
        </patternFill>
      </fill>
    </dxf>
    <dxf>
      <fill>
        <patternFill>
          <bgColor theme="7"/>
        </patternFill>
      </fill>
    </dxf>
    <dxf>
      <fill>
        <patternFill>
          <bgColor theme="9"/>
        </patternFill>
      </fill>
    </dxf>
    <dxf>
      <fill>
        <patternFill>
          <bgColor theme="8"/>
        </patternFill>
      </fill>
    </dxf>
    <dxf>
      <fill>
        <patternFill>
          <bgColor theme="7"/>
        </patternFill>
      </fill>
    </dxf>
    <dxf>
      <fill>
        <patternFill>
          <bgColor theme="9"/>
        </patternFill>
      </fill>
    </dxf>
    <dxf>
      <font>
        <b/>
        <i val="0"/>
        <color theme="0"/>
      </font>
      <fill>
        <patternFill>
          <bgColor theme="6"/>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bgColor theme="5" tint="0.79998168889431442"/>
        </patternFill>
      </fill>
    </dxf>
    <dxf>
      <font>
        <b/>
        <i val="0"/>
        <color theme="0"/>
      </font>
      <fill>
        <patternFill>
          <bgColor theme="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bgColor theme="4"/>
        </patternFill>
      </fill>
    </dxf>
    <dxf>
      <font>
        <b/>
        <i val="0"/>
        <color theme="0"/>
      </font>
      <fill>
        <patternFill>
          <bgColor theme="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4" defaultTableStyle="NashTech Table Style 1" defaultPivotStyle="PivotStyleLight16">
    <tableStyle name="NashTech Table Style 1" pivot="0" count="2">
      <tableStyleElement type="wholeTable" dxfId="15"/>
      <tableStyleElement type="headerRow" dxfId="14"/>
    </tableStyle>
    <tableStyle name="NashTech Table Style 2" pivot="0" count="3">
      <tableStyleElement type="wholeTable" dxfId="13"/>
      <tableStyleElement type="headerRow" dxfId="12"/>
      <tableStyleElement type="firstRowStripe" dxfId="11"/>
    </tableStyle>
    <tableStyle name="NashTech Table Style 4" pivot="0" count="3">
      <tableStyleElement type="wholeTable" dxfId="10"/>
      <tableStyleElement type="headerRow" dxfId="9"/>
      <tableStyleElement type="firstColumnStripe" dxfId="8"/>
    </tableStyle>
    <tableStyle name="Table Style 1" pivot="0" count="2">
      <tableStyleElement type="wholeTable" dxfId="7"/>
      <tableStyleElement type="headerRow" dxfId="6"/>
    </tableStyle>
  </tableStyles>
  <colors>
    <mruColors>
      <color rgb="FFF2F2F2"/>
      <color rgb="FFBFBFBF"/>
      <color rgb="FF6D829F"/>
      <color rgb="FF7EA1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025320364366221E-2"/>
          <c:y val="0.10123094704905006"/>
          <c:w val="0.84499891925274051"/>
          <c:h val="0.77322882804787019"/>
        </c:manualLayout>
      </c:layout>
      <c:lineChart>
        <c:grouping val="standard"/>
        <c:varyColors val="0"/>
        <c:ser>
          <c:idx val="0"/>
          <c:order val="0"/>
          <c:tx>
            <c:v>HvN Bug Found</c:v>
          </c:tx>
          <c:marker>
            <c:symbol val="none"/>
          </c:marker>
          <c:dLbls>
            <c:spPr>
              <a:noFill/>
              <a:ln w="25400">
                <a:noFill/>
              </a:ln>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numRef>
              <c:f>'Test report'!$B$82:$B$104</c:f>
              <c:numCache>
                <c:formatCode>[$-409]d\-mmm\-yy;@</c:formatCode>
                <c:ptCount val="23"/>
                <c:pt idx="0">
                  <c:v>41488</c:v>
                </c:pt>
                <c:pt idx="1">
                  <c:v>41495</c:v>
                </c:pt>
                <c:pt idx="2">
                  <c:v>41502</c:v>
                </c:pt>
                <c:pt idx="3">
                  <c:v>41509</c:v>
                </c:pt>
                <c:pt idx="4">
                  <c:v>41516</c:v>
                </c:pt>
                <c:pt idx="5">
                  <c:v>41523</c:v>
                </c:pt>
                <c:pt idx="6">
                  <c:v>41530</c:v>
                </c:pt>
                <c:pt idx="7">
                  <c:v>41537</c:v>
                </c:pt>
                <c:pt idx="8">
                  <c:v>41544</c:v>
                </c:pt>
                <c:pt idx="9">
                  <c:v>41551</c:v>
                </c:pt>
                <c:pt idx="10">
                  <c:v>41558</c:v>
                </c:pt>
                <c:pt idx="11">
                  <c:v>41565</c:v>
                </c:pt>
                <c:pt idx="12">
                  <c:v>41572</c:v>
                </c:pt>
              </c:numCache>
            </c:numRef>
          </c:cat>
          <c:val>
            <c:numRef>
              <c:f>'Test report'!$C$82:$C$104</c:f>
              <c:numCache>
                <c:formatCode>General</c:formatCode>
                <c:ptCount val="23"/>
                <c:pt idx="0">
                  <c:v>5</c:v>
                </c:pt>
                <c:pt idx="1">
                  <c:v>20</c:v>
                </c:pt>
                <c:pt idx="2">
                  <c:v>40</c:v>
                </c:pt>
                <c:pt idx="3">
                  <c:v>60</c:v>
                </c:pt>
                <c:pt idx="4">
                  <c:v>80</c:v>
                </c:pt>
                <c:pt idx="5">
                  <c:v>120</c:v>
                </c:pt>
                <c:pt idx="6">
                  <c:v>150</c:v>
                </c:pt>
                <c:pt idx="7">
                  <c:v>155</c:v>
                </c:pt>
                <c:pt idx="8">
                  <c:v>179</c:v>
                </c:pt>
                <c:pt idx="9">
                  <c:v>200</c:v>
                </c:pt>
                <c:pt idx="10">
                  <c:v>202</c:v>
                </c:pt>
                <c:pt idx="11">
                  <c:v>206</c:v>
                </c:pt>
                <c:pt idx="12">
                  <c:v>230</c:v>
                </c:pt>
              </c:numCache>
            </c:numRef>
          </c:val>
          <c:smooth val="0"/>
        </c:ser>
        <c:ser>
          <c:idx val="1"/>
          <c:order val="1"/>
          <c:tx>
            <c:v>HvN Bug Fixed</c:v>
          </c:tx>
          <c:marker>
            <c:symbol val="none"/>
          </c:marker>
          <c:dLbls>
            <c:spPr>
              <a:noFill/>
              <a:ln w="25400">
                <a:noFill/>
              </a:ln>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numRef>
              <c:f>'Test report'!$B$82:$B$104</c:f>
              <c:numCache>
                <c:formatCode>[$-409]d\-mmm\-yy;@</c:formatCode>
                <c:ptCount val="23"/>
                <c:pt idx="0">
                  <c:v>41488</c:v>
                </c:pt>
                <c:pt idx="1">
                  <c:v>41495</c:v>
                </c:pt>
                <c:pt idx="2">
                  <c:v>41502</c:v>
                </c:pt>
                <c:pt idx="3">
                  <c:v>41509</c:v>
                </c:pt>
                <c:pt idx="4">
                  <c:v>41516</c:v>
                </c:pt>
                <c:pt idx="5">
                  <c:v>41523</c:v>
                </c:pt>
                <c:pt idx="6">
                  <c:v>41530</c:v>
                </c:pt>
                <c:pt idx="7">
                  <c:v>41537</c:v>
                </c:pt>
                <c:pt idx="8">
                  <c:v>41544</c:v>
                </c:pt>
                <c:pt idx="9">
                  <c:v>41551</c:v>
                </c:pt>
                <c:pt idx="10">
                  <c:v>41558</c:v>
                </c:pt>
                <c:pt idx="11">
                  <c:v>41565</c:v>
                </c:pt>
                <c:pt idx="12">
                  <c:v>41572</c:v>
                </c:pt>
              </c:numCache>
            </c:numRef>
          </c:cat>
          <c:val>
            <c:numRef>
              <c:f>'Test report'!$D$82:$D$104</c:f>
              <c:numCache>
                <c:formatCode>General</c:formatCode>
                <c:ptCount val="23"/>
                <c:pt idx="0">
                  <c:v>2</c:v>
                </c:pt>
                <c:pt idx="1">
                  <c:v>6</c:v>
                </c:pt>
                <c:pt idx="2">
                  <c:v>29</c:v>
                </c:pt>
                <c:pt idx="3">
                  <c:v>45</c:v>
                </c:pt>
                <c:pt idx="4">
                  <c:v>40</c:v>
                </c:pt>
                <c:pt idx="5">
                  <c:v>49</c:v>
                </c:pt>
                <c:pt idx="6">
                  <c:v>50</c:v>
                </c:pt>
                <c:pt idx="7">
                  <c:v>59</c:v>
                </c:pt>
                <c:pt idx="8">
                  <c:v>70</c:v>
                </c:pt>
                <c:pt idx="9">
                  <c:v>140</c:v>
                </c:pt>
                <c:pt idx="10">
                  <c:v>160</c:v>
                </c:pt>
                <c:pt idx="11">
                  <c:v>200</c:v>
                </c:pt>
                <c:pt idx="12">
                  <c:v>225</c:v>
                </c:pt>
              </c:numCache>
            </c:numRef>
          </c:val>
          <c:smooth val="0"/>
        </c:ser>
        <c:ser>
          <c:idx val="2"/>
          <c:order val="2"/>
          <c:tx>
            <c:v>Client Bug found</c:v>
          </c:tx>
          <c:marker>
            <c:symbol val="none"/>
          </c:marker>
          <c:dLbls>
            <c:spPr>
              <a:noFill/>
              <a:ln w="25400">
                <a:noFill/>
              </a:ln>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numRef>
              <c:f>'Test report'!$B$82:$B$104</c:f>
              <c:numCache>
                <c:formatCode>[$-409]d\-mmm\-yy;@</c:formatCode>
                <c:ptCount val="23"/>
                <c:pt idx="0">
                  <c:v>41488</c:v>
                </c:pt>
                <c:pt idx="1">
                  <c:v>41495</c:v>
                </c:pt>
                <c:pt idx="2">
                  <c:v>41502</c:v>
                </c:pt>
                <c:pt idx="3">
                  <c:v>41509</c:v>
                </c:pt>
                <c:pt idx="4">
                  <c:v>41516</c:v>
                </c:pt>
                <c:pt idx="5">
                  <c:v>41523</c:v>
                </c:pt>
                <c:pt idx="6">
                  <c:v>41530</c:v>
                </c:pt>
                <c:pt idx="7">
                  <c:v>41537</c:v>
                </c:pt>
                <c:pt idx="8">
                  <c:v>41544</c:v>
                </c:pt>
                <c:pt idx="9">
                  <c:v>41551</c:v>
                </c:pt>
                <c:pt idx="10">
                  <c:v>41558</c:v>
                </c:pt>
                <c:pt idx="11">
                  <c:v>41565</c:v>
                </c:pt>
                <c:pt idx="12">
                  <c:v>41572</c:v>
                </c:pt>
              </c:numCache>
            </c:numRef>
          </c:cat>
          <c:val>
            <c:numRef>
              <c:f>'Test report'!$E$82:$E$104</c:f>
              <c:numCache>
                <c:formatCode>General</c:formatCode>
                <c:ptCount val="23"/>
                <c:pt idx="0">
                  <c:v>0</c:v>
                </c:pt>
                <c:pt idx="1">
                  <c:v>0</c:v>
                </c:pt>
                <c:pt idx="2">
                  <c:v>0</c:v>
                </c:pt>
                <c:pt idx="3">
                  <c:v>0</c:v>
                </c:pt>
                <c:pt idx="4">
                  <c:v>0</c:v>
                </c:pt>
                <c:pt idx="5">
                  <c:v>0</c:v>
                </c:pt>
                <c:pt idx="6">
                  <c:v>0</c:v>
                </c:pt>
                <c:pt idx="7">
                  <c:v>0</c:v>
                </c:pt>
                <c:pt idx="8">
                  <c:v>0</c:v>
                </c:pt>
                <c:pt idx="9">
                  <c:v>12</c:v>
                </c:pt>
                <c:pt idx="10">
                  <c:v>20</c:v>
                </c:pt>
                <c:pt idx="11">
                  <c:v>30</c:v>
                </c:pt>
                <c:pt idx="12">
                  <c:v>45</c:v>
                </c:pt>
              </c:numCache>
            </c:numRef>
          </c:val>
          <c:smooth val="0"/>
        </c:ser>
        <c:ser>
          <c:idx val="3"/>
          <c:order val="3"/>
          <c:tx>
            <c:v>Client Bug Fixed</c:v>
          </c:tx>
          <c:marker>
            <c:symbol val="none"/>
          </c:marker>
          <c:dLbls>
            <c:spPr>
              <a:noFill/>
              <a:ln w="25400">
                <a:noFill/>
              </a:ln>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numRef>
              <c:f>'Test report'!$B$82:$B$104</c:f>
              <c:numCache>
                <c:formatCode>[$-409]d\-mmm\-yy;@</c:formatCode>
                <c:ptCount val="23"/>
                <c:pt idx="0">
                  <c:v>41488</c:v>
                </c:pt>
                <c:pt idx="1">
                  <c:v>41495</c:v>
                </c:pt>
                <c:pt idx="2">
                  <c:v>41502</c:v>
                </c:pt>
                <c:pt idx="3">
                  <c:v>41509</c:v>
                </c:pt>
                <c:pt idx="4">
                  <c:v>41516</c:v>
                </c:pt>
                <c:pt idx="5">
                  <c:v>41523</c:v>
                </c:pt>
                <c:pt idx="6">
                  <c:v>41530</c:v>
                </c:pt>
                <c:pt idx="7">
                  <c:v>41537</c:v>
                </c:pt>
                <c:pt idx="8">
                  <c:v>41544</c:v>
                </c:pt>
                <c:pt idx="9">
                  <c:v>41551</c:v>
                </c:pt>
                <c:pt idx="10">
                  <c:v>41558</c:v>
                </c:pt>
                <c:pt idx="11">
                  <c:v>41565</c:v>
                </c:pt>
                <c:pt idx="12">
                  <c:v>41572</c:v>
                </c:pt>
              </c:numCache>
            </c:numRef>
          </c:cat>
          <c:val>
            <c:numRef>
              <c:f>'Test report'!$F$82:$F$104</c:f>
              <c:numCache>
                <c:formatCode>General</c:formatCode>
                <c:ptCount val="23"/>
                <c:pt idx="0">
                  <c:v>0</c:v>
                </c:pt>
                <c:pt idx="1">
                  <c:v>0</c:v>
                </c:pt>
                <c:pt idx="2">
                  <c:v>0</c:v>
                </c:pt>
                <c:pt idx="3">
                  <c:v>0</c:v>
                </c:pt>
                <c:pt idx="4">
                  <c:v>0</c:v>
                </c:pt>
                <c:pt idx="5">
                  <c:v>0</c:v>
                </c:pt>
                <c:pt idx="6">
                  <c:v>0</c:v>
                </c:pt>
                <c:pt idx="7">
                  <c:v>0</c:v>
                </c:pt>
                <c:pt idx="8">
                  <c:v>0</c:v>
                </c:pt>
                <c:pt idx="9">
                  <c:v>4</c:v>
                </c:pt>
                <c:pt idx="10">
                  <c:v>9</c:v>
                </c:pt>
                <c:pt idx="11">
                  <c:v>15</c:v>
                </c:pt>
                <c:pt idx="12">
                  <c:v>44</c:v>
                </c:pt>
              </c:numCache>
            </c:numRef>
          </c:val>
          <c:smooth val="0"/>
        </c:ser>
        <c:dLbls>
          <c:showLegendKey val="0"/>
          <c:showVal val="0"/>
          <c:showCatName val="0"/>
          <c:showSerName val="0"/>
          <c:showPercent val="0"/>
          <c:showBubbleSize val="0"/>
        </c:dLbls>
        <c:marker val="1"/>
        <c:smooth val="0"/>
        <c:axId val="243911680"/>
        <c:axId val="273159296"/>
      </c:lineChart>
      <c:dateAx>
        <c:axId val="243911680"/>
        <c:scaling>
          <c:orientation val="minMax"/>
        </c:scaling>
        <c:delete val="0"/>
        <c:axPos val="b"/>
        <c:numFmt formatCode="[$-409]d\-mmm\-yy;@"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3159296"/>
        <c:crosses val="autoZero"/>
        <c:auto val="1"/>
        <c:lblOffset val="100"/>
        <c:baseTimeUnit val="days"/>
      </c:dateAx>
      <c:valAx>
        <c:axId val="273159296"/>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43911680"/>
        <c:crosses val="autoZero"/>
        <c:crossBetween val="between"/>
      </c:valAx>
    </c:plotArea>
    <c:legend>
      <c:legendPos val="r"/>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a:solidFill>
                  <a:srgbClr val="6D829F"/>
                </a:solidFill>
                <a:latin typeface="+mj-lt"/>
              </a:defRPr>
            </a:pPr>
            <a:r>
              <a:rPr lang="en-US" sz="1800" b="1">
                <a:solidFill>
                  <a:srgbClr val="6D829F"/>
                </a:solidFill>
                <a:latin typeface="+mj-lt"/>
              </a:rPr>
              <a:t>Summary by</a:t>
            </a:r>
            <a:r>
              <a:rPr lang="en-US" sz="1800" b="1" baseline="0">
                <a:solidFill>
                  <a:srgbClr val="6D829F"/>
                </a:solidFill>
                <a:latin typeface="+mj-lt"/>
              </a:rPr>
              <a:t> Defect type</a:t>
            </a:r>
            <a:endParaRPr lang="en-US" sz="1800" b="1">
              <a:solidFill>
                <a:srgbClr val="6D829F"/>
              </a:solidFill>
              <a:latin typeface="+mj-lt"/>
            </a:endParaRPr>
          </a:p>
        </c:rich>
      </c:tx>
      <c:layout/>
      <c:overlay val="0"/>
    </c:title>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Lbls>
            <c:spPr>
              <a:noFill/>
              <a:ln w="25400">
                <a:noFill/>
              </a:ln>
            </c:spPr>
            <c:txPr>
              <a:bodyPr/>
              <a:lstStyle/>
              <a:p>
                <a:pPr>
                  <a:defRPr sz="1000" b="0" i="0" u="none" strike="noStrike" baseline="0">
                    <a:solidFill>
                      <a:srgbClr val="000000"/>
                    </a:solidFill>
                    <a:latin typeface="Calibri"/>
                    <a:ea typeface="Calibri"/>
                    <a:cs typeface="Calibri"/>
                  </a:defRPr>
                </a:pPr>
                <a:endParaRPr lang="en-US"/>
              </a:p>
            </c:txPr>
            <c:showLegendKey val="0"/>
            <c:showVal val="0"/>
            <c:showCatName val="1"/>
            <c:showSerName val="0"/>
            <c:showPercent val="1"/>
            <c:showBubbleSize val="0"/>
            <c:showLeaderLines val="1"/>
          </c:dLbls>
          <c:cat>
            <c:strRef>
              <c:f>'Defect Analysis Report'!$C$9:$C$17</c:f>
              <c:strCache>
                <c:ptCount val="9"/>
                <c:pt idx="0">
                  <c:v>Functionality</c:v>
                </c:pt>
                <c:pt idx="1">
                  <c:v>Documentation</c:v>
                </c:pt>
                <c:pt idx="2">
                  <c:v>GUI</c:v>
                </c:pt>
                <c:pt idx="3">
                  <c:v>Installation</c:v>
                </c:pt>
                <c:pt idx="4">
                  <c:v>Performance</c:v>
                </c:pt>
                <c:pt idx="5">
                  <c:v>Security</c:v>
                </c:pt>
                <c:pt idx="6">
                  <c:v>Usability</c:v>
                </c:pt>
                <c:pt idx="7">
                  <c:v>Others</c:v>
                </c:pt>
                <c:pt idx="8">
                  <c:v>Architecture</c:v>
                </c:pt>
              </c:strCache>
            </c:strRef>
          </c:cat>
          <c:val>
            <c:numRef>
              <c:f>'Defect Analysis Report'!$D$9:$D$17</c:f>
              <c:numCache>
                <c:formatCode>General</c:formatCode>
                <c:ptCount val="9"/>
                <c:pt idx="0">
                  <c:v>22</c:v>
                </c:pt>
                <c:pt idx="1">
                  <c:v>0</c:v>
                </c:pt>
                <c:pt idx="2">
                  <c:v>0</c:v>
                </c:pt>
                <c:pt idx="3">
                  <c:v>0</c:v>
                </c:pt>
                <c:pt idx="4">
                  <c:v>0</c:v>
                </c:pt>
                <c:pt idx="5">
                  <c:v>0</c:v>
                </c:pt>
                <c:pt idx="6">
                  <c:v>0</c:v>
                </c:pt>
                <c:pt idx="7">
                  <c:v>0</c:v>
                </c:pt>
                <c:pt idx="8">
                  <c:v>3</c:v>
                </c:pt>
              </c:numCache>
            </c:numRef>
          </c:val>
        </c:ser>
        <c:dLbls>
          <c:showLegendKey val="0"/>
          <c:showVal val="0"/>
          <c:showCatName val="1"/>
          <c:showSerName val="0"/>
          <c:showPercent val="1"/>
          <c:showBubbleSize val="0"/>
          <c:showLeaderLines val="1"/>
        </c:dLbls>
        <c:firstSliceAng val="0"/>
      </c:pieChart>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lgn="ctr" rtl="0">
              <a:defRPr lang="en-US" sz="1800" b="1" i="0" u="none" strike="noStrike" kern="1200" baseline="0">
                <a:solidFill>
                  <a:srgbClr val="6D829F"/>
                </a:solidFill>
                <a:latin typeface="+mj-lt"/>
                <a:ea typeface="Calibri"/>
                <a:cs typeface="Calibri"/>
              </a:defRPr>
            </a:pPr>
            <a:r>
              <a:rPr lang="en-US" sz="1800" b="1" i="0" u="none" strike="noStrike" kern="1200" baseline="0">
                <a:solidFill>
                  <a:srgbClr val="6D829F"/>
                </a:solidFill>
                <a:latin typeface="+mj-lt"/>
                <a:ea typeface="Calibri"/>
                <a:cs typeface="Calibri"/>
              </a:rPr>
              <a:t>Summary by Detected Time</a:t>
            </a:r>
          </a:p>
        </c:rich>
      </c:tx>
      <c:layout/>
      <c:overlay val="0"/>
    </c:title>
    <c:autoTitleDeleted val="0"/>
    <c:plotArea>
      <c:layout/>
      <c:pieChart>
        <c:varyColors val="1"/>
        <c:ser>
          <c:idx val="0"/>
          <c:order val="0"/>
          <c:dPt>
            <c:idx val="0"/>
            <c:bubble3D val="0"/>
          </c:dPt>
          <c:dPt>
            <c:idx val="1"/>
            <c:bubble3D val="0"/>
          </c:dPt>
          <c:dLbls>
            <c:showLegendKey val="0"/>
            <c:showVal val="0"/>
            <c:showCatName val="1"/>
            <c:showSerName val="0"/>
            <c:showPercent val="1"/>
            <c:showBubbleSize val="0"/>
            <c:showLeaderLines val="1"/>
          </c:dLbls>
          <c:cat>
            <c:strRef>
              <c:f>'Defect Analysis Report'!$C$39:$C$40</c:f>
              <c:strCache>
                <c:ptCount val="2"/>
                <c:pt idx="0">
                  <c:v>Pre-release</c:v>
                </c:pt>
                <c:pt idx="1">
                  <c:v>Post-release</c:v>
                </c:pt>
              </c:strCache>
            </c:strRef>
          </c:cat>
          <c:val>
            <c:numRef>
              <c:f>'Defect Analysis Report'!$D$39:$D$40</c:f>
              <c:numCache>
                <c:formatCode>General</c:formatCode>
                <c:ptCount val="2"/>
                <c:pt idx="0">
                  <c:v>22</c:v>
                </c:pt>
                <c:pt idx="1">
                  <c:v>6</c:v>
                </c:pt>
              </c:numCache>
            </c:numRef>
          </c:val>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lgn="ctr" rtl="0">
              <a:defRPr lang="en-US" sz="1800" b="1" i="0" u="none" strike="noStrike" kern="1200" baseline="0">
                <a:solidFill>
                  <a:srgbClr val="6D829F"/>
                </a:solidFill>
                <a:latin typeface="+mj-lt"/>
                <a:ea typeface="Calibri"/>
                <a:cs typeface="Calibri"/>
              </a:defRPr>
            </a:pPr>
            <a:r>
              <a:rPr lang="en-US" sz="1800" b="1" i="0" u="none" strike="noStrike" kern="1200" baseline="0">
                <a:solidFill>
                  <a:srgbClr val="6D829F"/>
                </a:solidFill>
                <a:latin typeface="+mj-lt"/>
                <a:ea typeface="Calibri"/>
                <a:cs typeface="Calibri"/>
              </a:rPr>
              <a:t>Summary by Reviewer</a:t>
            </a:r>
          </a:p>
        </c:rich>
      </c:tx>
      <c:layout/>
      <c:overlay val="0"/>
    </c:title>
    <c:autoTitleDeleted val="0"/>
    <c:plotArea>
      <c:layout/>
      <c:pieChart>
        <c:varyColors val="1"/>
        <c:ser>
          <c:idx val="0"/>
          <c:order val="0"/>
          <c:dPt>
            <c:idx val="0"/>
            <c:bubble3D val="0"/>
          </c:dPt>
          <c:dPt>
            <c:idx val="1"/>
            <c:bubble3D val="0"/>
          </c:dPt>
          <c:dPt>
            <c:idx val="2"/>
            <c:bubble3D val="0"/>
          </c:dPt>
          <c:dLbls>
            <c:showLegendKey val="0"/>
            <c:showVal val="0"/>
            <c:showCatName val="1"/>
            <c:showSerName val="0"/>
            <c:showPercent val="1"/>
            <c:showBubbleSize val="0"/>
            <c:showLeaderLines val="1"/>
          </c:dLbls>
          <c:cat>
            <c:strRef>
              <c:f>'Defect Analysis Report'!$C$68:$C$70</c:f>
              <c:strCache>
                <c:ptCount val="3"/>
                <c:pt idx="0">
                  <c:v>Reviewer</c:v>
                </c:pt>
                <c:pt idx="1">
                  <c:v>QC</c:v>
                </c:pt>
                <c:pt idx="2">
                  <c:v>Client</c:v>
                </c:pt>
              </c:strCache>
            </c:strRef>
          </c:cat>
          <c:val>
            <c:numRef>
              <c:f>'Defect Analysis Report'!$D$68:$D$70</c:f>
              <c:numCache>
                <c:formatCode>General</c:formatCode>
                <c:ptCount val="3"/>
                <c:pt idx="0">
                  <c:v>1</c:v>
                </c:pt>
                <c:pt idx="1">
                  <c:v>21</c:v>
                </c:pt>
                <c:pt idx="2">
                  <c:v>6</c:v>
                </c:pt>
              </c:numCache>
            </c:numRef>
          </c:val>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800" b="1" i="0" u="none" strike="noStrike" kern="1200" baseline="0">
                <a:solidFill>
                  <a:srgbClr val="6D829F"/>
                </a:solidFill>
                <a:latin typeface="+mj-lt"/>
                <a:ea typeface="Calibri"/>
                <a:cs typeface="Calibri"/>
              </a:defRPr>
            </a:pPr>
            <a:r>
              <a:rPr lang="en-US" sz="1800" b="1" i="0" u="none" strike="noStrike" kern="1200" baseline="0">
                <a:solidFill>
                  <a:srgbClr val="6D829F"/>
                </a:solidFill>
                <a:latin typeface="+mj-lt"/>
                <a:ea typeface="Calibri"/>
                <a:cs typeface="Calibri"/>
              </a:rPr>
              <a:t>Summary Defect by Component</a:t>
            </a:r>
          </a:p>
        </c:rich>
      </c:tx>
      <c:layout>
        <c:manualLayout>
          <c:xMode val="edge"/>
          <c:yMode val="edge"/>
          <c:x val="0.23872187324898994"/>
          <c:y val="1.7897091722595078E-2"/>
        </c:manualLayout>
      </c:layout>
      <c:overlay val="0"/>
    </c:title>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Pt>
            <c:idx val="15"/>
            <c:bubble3D val="0"/>
          </c:dPt>
          <c:dLbls>
            <c:dLbl>
              <c:idx val="0"/>
              <c:layout>
                <c:manualLayout>
                  <c:x val="0.19281768851927217"/>
                  <c:y val="7.3729911277868793E-2"/>
                </c:manualLayout>
              </c:layout>
              <c:showLegendKey val="0"/>
              <c:showVal val="0"/>
              <c:showCatName val="1"/>
              <c:showSerName val="0"/>
              <c:showPercent val="1"/>
              <c:showBubbleSize val="0"/>
            </c:dLbl>
            <c:dLbl>
              <c:idx val="15"/>
              <c:layout>
                <c:manualLayout>
                  <c:x val="0.1938789112035153"/>
                  <c:y val="3.0344730398633057E-2"/>
                </c:manualLayout>
              </c:layout>
              <c:showLegendKey val="0"/>
              <c:showVal val="0"/>
              <c:showCatName val="1"/>
              <c:showSerName val="0"/>
              <c:showPercent val="1"/>
              <c:showBubbleSize val="0"/>
            </c:dLbl>
            <c:showLegendKey val="0"/>
            <c:showVal val="0"/>
            <c:showCatName val="1"/>
            <c:showSerName val="0"/>
            <c:showPercent val="1"/>
            <c:showBubbleSize val="0"/>
            <c:showLeaderLines val="1"/>
          </c:dLbls>
          <c:cat>
            <c:strRef>
              <c:f>'Defect Analysis Report'!$C$98:$C$113</c:f>
              <c:strCache>
                <c:ptCount val="16"/>
                <c:pt idx="0">
                  <c:v>CategoryDetails</c:v>
                </c:pt>
                <c:pt idx="1">
                  <c:v>IndicatorDetails</c:v>
                </c:pt>
                <c:pt idx="2">
                  <c:v>ListOfCategory</c:v>
                </c:pt>
                <c:pt idx="3">
                  <c:v>ListOfMyProjects</c:v>
                </c:pt>
                <c:pt idx="4">
                  <c:v>ListOfUsers</c:v>
                </c:pt>
                <c:pt idx="5">
                  <c:v>ManageMA</c:v>
                </c:pt>
                <c:pt idx="6">
                  <c:v>MAPlanDetails</c:v>
                </c:pt>
                <c:pt idx="7">
                  <c:v>MAPlanUpdate</c:v>
                </c:pt>
                <c:pt idx="8">
                  <c:v>MAPlanWaitingForReview</c:v>
                </c:pt>
                <c:pt idx="9">
                  <c:v>Project Details</c:v>
                </c:pt>
                <c:pt idx="10">
                  <c:v>Role&amp;Permission</c:v>
                </c:pt>
                <c:pt idx="11">
                  <c:v>UserDetails</c:v>
                </c:pt>
                <c:pt idx="12">
                  <c:v>ViewChange</c:v>
                </c:pt>
                <c:pt idx="13">
                  <c:v>ViewChanges</c:v>
                </c:pt>
                <c:pt idx="14">
                  <c:v>ViewMAPlan</c:v>
                </c:pt>
                <c:pt idx="15">
                  <c:v>WaitingForApproveMAPlan</c:v>
                </c:pt>
              </c:strCache>
            </c:strRef>
          </c:cat>
          <c:val>
            <c:numRef>
              <c:f>'Defect Analysis Report'!$D$98:$D$113</c:f>
              <c:numCache>
                <c:formatCode>General</c:formatCode>
                <c:ptCount val="16"/>
                <c:pt idx="0">
                  <c:v>1</c:v>
                </c:pt>
                <c:pt idx="1">
                  <c:v>10</c:v>
                </c:pt>
                <c:pt idx="2">
                  <c:v>1</c:v>
                </c:pt>
                <c:pt idx="3">
                  <c:v>1</c:v>
                </c:pt>
                <c:pt idx="4">
                  <c:v>1</c:v>
                </c:pt>
                <c:pt idx="5">
                  <c:v>1</c:v>
                </c:pt>
                <c:pt idx="6">
                  <c:v>2</c:v>
                </c:pt>
                <c:pt idx="7">
                  <c:v>1</c:v>
                </c:pt>
                <c:pt idx="8">
                  <c:v>1</c:v>
                </c:pt>
                <c:pt idx="9">
                  <c:v>1</c:v>
                </c:pt>
                <c:pt idx="10">
                  <c:v>3</c:v>
                </c:pt>
                <c:pt idx="11">
                  <c:v>1</c:v>
                </c:pt>
                <c:pt idx="12">
                  <c:v>1</c:v>
                </c:pt>
                <c:pt idx="13">
                  <c:v>1</c:v>
                </c:pt>
                <c:pt idx="14">
                  <c:v>1</c:v>
                </c:pt>
                <c:pt idx="15">
                  <c:v>1</c:v>
                </c:pt>
              </c:numCache>
            </c:numRef>
          </c:val>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a:solidFill>
                  <a:srgbClr val="6D829F"/>
                </a:solidFill>
                <a:latin typeface="+mj-lt"/>
              </a:defRPr>
            </a:pPr>
            <a:r>
              <a:rPr lang="en-US" sz="1800" b="1">
                <a:solidFill>
                  <a:srgbClr val="6D829F"/>
                </a:solidFill>
                <a:latin typeface="+mj-lt"/>
              </a:rPr>
              <a:t>Summary Defect by Root Cause</a:t>
            </a:r>
          </a:p>
        </c:rich>
      </c:tx>
      <c:layout/>
      <c:overlay val="0"/>
    </c:title>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Lbls>
            <c:dLbl>
              <c:idx val="0"/>
              <c:layout>
                <c:manualLayout>
                  <c:x val="-0.12744127387976226"/>
                  <c:y val="9.1377275629244137E-3"/>
                </c:manualLayout>
              </c:layout>
              <c:showLegendKey val="0"/>
              <c:showVal val="0"/>
              <c:showCatName val="1"/>
              <c:showSerName val="0"/>
              <c:showPercent val="1"/>
              <c:showBubbleSize val="0"/>
            </c:dLbl>
            <c:dLbl>
              <c:idx val="2"/>
              <c:layout>
                <c:manualLayout>
                  <c:x val="8.9130056514523423E-2"/>
                  <c:y val="-2.8710170442453907E-2"/>
                </c:manualLayout>
              </c:layout>
              <c:showLegendKey val="0"/>
              <c:showVal val="0"/>
              <c:showCatName val="1"/>
              <c:showSerName val="0"/>
              <c:showPercent val="1"/>
              <c:showBubbleSize val="0"/>
            </c:dLbl>
            <c:dLbl>
              <c:idx val="3"/>
              <c:layout>
                <c:manualLayout>
                  <c:x val="9.9706972561577428E-2"/>
                  <c:y val="6.7112925380641911E-2"/>
                </c:manualLayout>
              </c:layout>
              <c:showLegendKey val="0"/>
              <c:showVal val="0"/>
              <c:showCatName val="1"/>
              <c:showSerName val="0"/>
              <c:showPercent val="1"/>
              <c:showBubbleSize val="0"/>
            </c:dLbl>
            <c:dLbl>
              <c:idx val="4"/>
              <c:layout>
                <c:manualLayout>
                  <c:x val="0.13471015287434474"/>
                  <c:y val="0.16293602120373774"/>
                </c:manualLayout>
              </c:layout>
              <c:showLegendKey val="0"/>
              <c:showVal val="0"/>
              <c:showCatName val="1"/>
              <c:showSerName val="0"/>
              <c:showPercent val="1"/>
              <c:showBubbleSize val="0"/>
            </c:dLbl>
            <c:spPr>
              <a:noFill/>
              <a:ln w="25400">
                <a:noFill/>
              </a:ln>
            </c:spPr>
            <c:txPr>
              <a:bodyPr/>
              <a:lstStyle/>
              <a:p>
                <a:pPr>
                  <a:defRPr sz="1000" b="0" i="0" u="none" strike="noStrike" baseline="0">
                    <a:solidFill>
                      <a:srgbClr val="000000"/>
                    </a:solidFill>
                    <a:latin typeface="Calibri"/>
                    <a:ea typeface="Calibri"/>
                    <a:cs typeface="Calibri"/>
                  </a:defRPr>
                </a:pPr>
                <a:endParaRPr lang="en-US"/>
              </a:p>
            </c:txPr>
            <c:showLegendKey val="0"/>
            <c:showVal val="0"/>
            <c:showCatName val="1"/>
            <c:showSerName val="0"/>
            <c:showPercent val="1"/>
            <c:showBubbleSize val="0"/>
            <c:showLeaderLines val="1"/>
          </c:dLbls>
          <c:cat>
            <c:strRef>
              <c:f>'Defect Analysis Report'!$C$128:$C$133</c:f>
              <c:strCache>
                <c:ptCount val="6"/>
                <c:pt idx="0">
                  <c:v>Code Error</c:v>
                </c:pt>
                <c:pt idx="1">
                  <c:v>Requirement </c:v>
                </c:pt>
                <c:pt idx="2">
                  <c:v>Configuration Error</c:v>
                </c:pt>
                <c:pt idx="3">
                  <c:v>Design Error</c:v>
                </c:pt>
                <c:pt idx="4">
                  <c:v>Existing bug</c:v>
                </c:pt>
                <c:pt idx="5">
                  <c:v>Unknown</c:v>
                </c:pt>
              </c:strCache>
            </c:strRef>
          </c:cat>
          <c:val>
            <c:numRef>
              <c:f>'Defect Analysis Report'!$D$128:$D$133</c:f>
              <c:numCache>
                <c:formatCode>General</c:formatCode>
                <c:ptCount val="6"/>
                <c:pt idx="0">
                  <c:v>1</c:v>
                </c:pt>
                <c:pt idx="1">
                  <c:v>1</c:v>
                </c:pt>
                <c:pt idx="2">
                  <c:v>0</c:v>
                </c:pt>
                <c:pt idx="3">
                  <c:v>0</c:v>
                </c:pt>
                <c:pt idx="4">
                  <c:v>0</c:v>
                </c:pt>
                <c:pt idx="5">
                  <c:v>25</c:v>
                </c:pt>
              </c:numCache>
            </c:numRef>
          </c:val>
        </c:ser>
        <c:dLbls>
          <c:showLegendKey val="0"/>
          <c:showVal val="0"/>
          <c:showCatName val="1"/>
          <c:showSerName val="0"/>
          <c:showPercent val="1"/>
          <c:showBubbleSize val="0"/>
          <c:showLeaderLines val="1"/>
        </c:dLbls>
        <c:firstSliceAng val="0"/>
      </c:pieChart>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https://jira.harveynash.vn/jira-logo-scaled.png"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428625</xdr:colOff>
      <xdr:row>1</xdr:row>
      <xdr:rowOff>0</xdr:rowOff>
    </xdr:to>
    <xdr:pic>
      <xdr:nvPicPr>
        <xdr:cNvPr id="2" name="Picture 1" descr="NashTech JIRA"/>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42862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96</xdr:row>
      <xdr:rowOff>19050</xdr:rowOff>
    </xdr:from>
    <xdr:to>
      <xdr:col>11</xdr:col>
      <xdr:colOff>228600</xdr:colOff>
      <xdr:row>119</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38100</xdr:colOff>
      <xdr:row>0</xdr:row>
      <xdr:rowOff>161925</xdr:rowOff>
    </xdr:from>
    <xdr:to>
      <xdr:col>1</xdr:col>
      <xdr:colOff>657225</xdr:colOff>
      <xdr:row>3</xdr:row>
      <xdr:rowOff>9526</xdr:rowOff>
    </xdr:to>
    <xdr:pic>
      <xdr:nvPicPr>
        <xdr:cNvPr id="5" name="Picture 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0275" t="13542" r="9886" b="13541"/>
        <a:stretch/>
      </xdr:blipFill>
      <xdr:spPr>
        <a:xfrm>
          <a:off x="38100" y="161925"/>
          <a:ext cx="962025" cy="66675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85725</xdr:colOff>
      <xdr:row>7</xdr:row>
      <xdr:rowOff>19051</xdr:rowOff>
    </xdr:from>
    <xdr:to>
      <xdr:col>16</xdr:col>
      <xdr:colOff>676275</xdr:colOff>
      <xdr:row>30</xdr:row>
      <xdr:rowOff>66676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28575</xdr:colOff>
      <xdr:row>37</xdr:row>
      <xdr:rowOff>9525</xdr:rowOff>
    </xdr:from>
    <xdr:to>
      <xdr:col>17</xdr:col>
      <xdr:colOff>0</xdr:colOff>
      <xdr:row>58</xdr:row>
      <xdr:rowOff>85725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38100</xdr:colOff>
      <xdr:row>66</xdr:row>
      <xdr:rowOff>19050</xdr:rowOff>
    </xdr:from>
    <xdr:to>
      <xdr:col>17</xdr:col>
      <xdr:colOff>0</xdr:colOff>
      <xdr:row>87</xdr:row>
      <xdr:rowOff>95250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76200</xdr:colOff>
      <xdr:row>96</xdr:row>
      <xdr:rowOff>38100</xdr:rowOff>
    </xdr:from>
    <xdr:to>
      <xdr:col>17</xdr:col>
      <xdr:colOff>0</xdr:colOff>
      <xdr:row>119</xdr:row>
      <xdr:rowOff>133350</xdr:rowOff>
    </xdr:to>
    <xdr:graphicFrame macro="">
      <xdr:nvGraphicFramePr>
        <xdr:cNvPr id="5"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9525</xdr:colOff>
      <xdr:row>126</xdr:row>
      <xdr:rowOff>9525</xdr:rowOff>
    </xdr:from>
    <xdr:to>
      <xdr:col>16</xdr:col>
      <xdr:colOff>676275</xdr:colOff>
      <xdr:row>147</xdr:row>
      <xdr:rowOff>85725</xdr:rowOff>
    </xdr:to>
    <xdr:graphicFrame macro="">
      <xdr:nvGraphicFramePr>
        <xdr:cNvPr id="6"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EPARMENT\QA%20deparment\Improvement\2.%20Creating\Tham\CMMI\CM\Template\Template_Japan\HNVN_SD_001_02_Template_ConfigurationManagementReport.xlt"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ngocnguyentt\AppData\Local\Microsoft\Windows\INetCache\Content.Outlook\T1SE965E\HNVN_SD_016_01_Template_Process_Improvement_Opportunities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 of Change"/>
      <sheetName val="CI report"/>
      <sheetName val="CR report yyyymmdd"/>
      <sheetName val="CI Definition Guideline"/>
      <sheetName val="Guideline"/>
    </sheetNames>
    <sheetDataSet>
      <sheetData sheetId="0"/>
      <sheetData sheetId="1"/>
      <sheetData sheetId="2"/>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1"/>
      <sheetName val="Sheet2"/>
    </sheetNames>
    <sheetDataSet>
      <sheetData sheetId="0"/>
      <sheetData sheetId="1"/>
    </sheetDataSet>
  </externalBook>
</externalLink>
</file>

<file path=xl/theme/theme1.xml><?xml version="1.0" encoding="utf-8"?>
<a:theme xmlns:a="http://schemas.openxmlformats.org/drawingml/2006/main" name="Office Theme">
  <a:themeElements>
    <a:clrScheme name="NashTech theme color">
      <a:dk1>
        <a:srgbClr val="333333"/>
      </a:dk1>
      <a:lt1>
        <a:srgbClr val="FFFFFF"/>
      </a:lt1>
      <a:dk2>
        <a:srgbClr val="6B5189"/>
      </a:dk2>
      <a:lt2>
        <a:srgbClr val="F26F33"/>
      </a:lt2>
      <a:accent1>
        <a:srgbClr val="EEF0F4"/>
      </a:accent1>
      <a:accent2>
        <a:srgbClr val="6D829F"/>
      </a:accent2>
      <a:accent3>
        <a:srgbClr val="7EB5D0"/>
      </a:accent3>
      <a:accent4>
        <a:srgbClr val="CC2337"/>
      </a:accent4>
      <a:accent5>
        <a:srgbClr val="8EB63E"/>
      </a:accent5>
      <a:accent6>
        <a:srgbClr val="FADB5C"/>
      </a:accent6>
      <a:hlink>
        <a:srgbClr val="CC2337"/>
      </a:hlink>
      <a:folHlink>
        <a:srgbClr val="6F727D"/>
      </a:folHlink>
    </a:clrScheme>
    <a:fontScheme name="NashTech font">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intranet.harveynash.vn/helpdeskblog/hvnPAL/Pages/Process%20Asset%20Library/CMMI/Template/02.%20Engineering%20Process%20Group"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hyperlink" Target="https://jira.harveynash.vn/browse/SD10001236-782" TargetMode="External"/><Relationship Id="rId117" Type="http://schemas.openxmlformats.org/officeDocument/2006/relationships/hyperlink" Target="https://jira.harveynash.vn/secure/attachment/41433/_thumb_41433.png" TargetMode="External"/><Relationship Id="rId21" Type="http://schemas.openxmlformats.org/officeDocument/2006/relationships/hyperlink" Target="https://jira.harveynash.vn/browse/SD10001236-783" TargetMode="External"/><Relationship Id="rId42" Type="http://schemas.openxmlformats.org/officeDocument/2006/relationships/hyperlink" Target="http://workspace.harveynash.vn/" TargetMode="External"/><Relationship Id="rId47" Type="http://schemas.openxmlformats.org/officeDocument/2006/relationships/hyperlink" Target="file:///C:\browse\$value.get(0)" TargetMode="External"/><Relationship Id="rId63" Type="http://schemas.openxmlformats.org/officeDocument/2006/relationships/hyperlink" Target="https://jira.harveynash.vn/browse/SD10001236-379" TargetMode="External"/><Relationship Id="rId68" Type="http://schemas.openxmlformats.org/officeDocument/2006/relationships/hyperlink" Target="https://jira.harveynash.vn/browse/SD10001236-656" TargetMode="External"/><Relationship Id="rId84" Type="http://schemas.openxmlformats.org/officeDocument/2006/relationships/hyperlink" Target="http://workspace.harveynash.vn/" TargetMode="External"/><Relationship Id="rId89" Type="http://schemas.openxmlformats.org/officeDocument/2006/relationships/hyperlink" Target="http://workspace.harveynash.vn/" TargetMode="External"/><Relationship Id="rId112" Type="http://schemas.openxmlformats.org/officeDocument/2006/relationships/hyperlink" Target="https://jira.harveynash.vn/secure/attachment/41437/_thumb_41437.png" TargetMode="External"/><Relationship Id="rId16" Type="http://schemas.openxmlformats.org/officeDocument/2006/relationships/hyperlink" Target="https://jira.harveynash.vn/browse/SD10001236-784" TargetMode="External"/><Relationship Id="rId107" Type="http://schemas.openxmlformats.org/officeDocument/2006/relationships/hyperlink" Target="https://jira.harveynash.vn/secure/attachment/41535/_thumb_41535.png" TargetMode="External"/><Relationship Id="rId11" Type="http://schemas.openxmlformats.org/officeDocument/2006/relationships/hyperlink" Target="https://jira.harveynash.vn/browse/SD10001236-379" TargetMode="External"/><Relationship Id="rId32" Type="http://schemas.openxmlformats.org/officeDocument/2006/relationships/hyperlink" Target="https://jira.harveynash.vn/secure/attachment/45301/_thumb_45301.png" TargetMode="External"/><Relationship Id="rId37" Type="http://schemas.openxmlformats.org/officeDocument/2006/relationships/hyperlink" Target="https://jira.harveynash.vn/secure/attachment/45216/_thumb_45216.png" TargetMode="External"/><Relationship Id="rId53" Type="http://schemas.openxmlformats.org/officeDocument/2006/relationships/hyperlink" Target="file:///C:\browse\$value.get(0)" TargetMode="External"/><Relationship Id="rId58" Type="http://schemas.openxmlformats.org/officeDocument/2006/relationships/hyperlink" Target="https://jira.harveynash.vn/browse/SD10001236-379" TargetMode="External"/><Relationship Id="rId74" Type="http://schemas.openxmlformats.org/officeDocument/2006/relationships/hyperlink" Target="https://jira.harveynash.vn/secure/attachment/45141/_thumb_45141.png" TargetMode="External"/><Relationship Id="rId79" Type="http://schemas.openxmlformats.org/officeDocument/2006/relationships/hyperlink" Target="http://workspace.harveynash.vn/" TargetMode="External"/><Relationship Id="rId102" Type="http://schemas.openxmlformats.org/officeDocument/2006/relationships/hyperlink" Target="https://jira.harveynash.vn/secure/attachment/41549/_thumb_41549.png" TargetMode="External"/><Relationship Id="rId123" Type="http://schemas.openxmlformats.org/officeDocument/2006/relationships/hyperlink" Target="file:///C:\browse\$value.get(0)" TargetMode="External"/><Relationship Id="rId128" Type="http://schemas.openxmlformats.org/officeDocument/2006/relationships/drawing" Target="../drawings/drawing1.xml"/><Relationship Id="rId5" Type="http://schemas.openxmlformats.org/officeDocument/2006/relationships/hyperlink" Target="file:///C:\browse\$value.get(0)" TargetMode="External"/><Relationship Id="rId90" Type="http://schemas.openxmlformats.org/officeDocument/2006/relationships/hyperlink" Target="file:///C:\browse\$value.get(0)" TargetMode="External"/><Relationship Id="rId95" Type="http://schemas.openxmlformats.org/officeDocument/2006/relationships/hyperlink" Target="file:///C:\browse\$value.get(0)" TargetMode="External"/><Relationship Id="rId19" Type="http://schemas.openxmlformats.org/officeDocument/2006/relationships/hyperlink" Target="file:///C:\browse\$value.get(0)" TargetMode="External"/><Relationship Id="rId14" Type="http://schemas.openxmlformats.org/officeDocument/2006/relationships/hyperlink" Target="http://workspace.harveynash.vn/" TargetMode="External"/><Relationship Id="rId22" Type="http://schemas.openxmlformats.org/officeDocument/2006/relationships/hyperlink" Target="https://jira.harveynash.vn/secure/attachment/45455/_thumb_45455.png" TargetMode="External"/><Relationship Id="rId27" Type="http://schemas.openxmlformats.org/officeDocument/2006/relationships/hyperlink" Target="https://jira.harveynash.vn/secure/attachment/45453/_thumb_45453.png" TargetMode="External"/><Relationship Id="rId30" Type="http://schemas.openxmlformats.org/officeDocument/2006/relationships/hyperlink" Target="https://jira.harveynash.vn/browse/SD10001236-379" TargetMode="External"/><Relationship Id="rId35" Type="http://schemas.openxmlformats.org/officeDocument/2006/relationships/hyperlink" Target="https://jira.harveynash.vn/browse/SD10001236-379" TargetMode="External"/><Relationship Id="rId43" Type="http://schemas.openxmlformats.org/officeDocument/2006/relationships/hyperlink" Target="file:///C:\browse\$value.get(0)" TargetMode="External"/><Relationship Id="rId48" Type="http://schemas.openxmlformats.org/officeDocument/2006/relationships/hyperlink" Target="https://jira.harveynash.vn/browse/SD10001236-714" TargetMode="External"/><Relationship Id="rId56" Type="http://schemas.openxmlformats.org/officeDocument/2006/relationships/hyperlink" Target="http://workspace.harveynash.vn/" TargetMode="External"/><Relationship Id="rId64" Type="http://schemas.openxmlformats.org/officeDocument/2006/relationships/hyperlink" Target="https://jira.harveynash.vn/browse/SD10001236-660" TargetMode="External"/><Relationship Id="rId69" Type="http://schemas.openxmlformats.org/officeDocument/2006/relationships/hyperlink" Target="https://jira.harveynash.vn/secure/attachment/43924/_thumb_43924.png" TargetMode="External"/><Relationship Id="rId77" Type="http://schemas.openxmlformats.org/officeDocument/2006/relationships/hyperlink" Target="https://jira.harveynash.vn/browse/SD10001236-379" TargetMode="External"/><Relationship Id="rId100" Type="http://schemas.openxmlformats.org/officeDocument/2006/relationships/hyperlink" Target="https://jira.harveynash.vn/browse/SD10001236-379" TargetMode="External"/><Relationship Id="rId105" Type="http://schemas.openxmlformats.org/officeDocument/2006/relationships/hyperlink" Target="https://jira.harveynash.vn/browse/SD10001236-379" TargetMode="External"/><Relationship Id="rId113" Type="http://schemas.openxmlformats.org/officeDocument/2006/relationships/hyperlink" Target="http://workspace.harveynash.vn/" TargetMode="External"/><Relationship Id="rId118" Type="http://schemas.openxmlformats.org/officeDocument/2006/relationships/hyperlink" Target="http://workspace.harveynash.vn/" TargetMode="External"/><Relationship Id="rId126" Type="http://schemas.openxmlformats.org/officeDocument/2006/relationships/hyperlink" Target="http://workspace.harveynash.vn/" TargetMode="External"/><Relationship Id="rId8" Type="http://schemas.openxmlformats.org/officeDocument/2006/relationships/hyperlink" Target="https://jira.harveynash.vn/secure/attachment/46549/_thumb_46549.png" TargetMode="External"/><Relationship Id="rId51" Type="http://schemas.openxmlformats.org/officeDocument/2006/relationships/hyperlink" Target="https://jira.harveynash.vn/browse/SD10001236-713" TargetMode="External"/><Relationship Id="rId72" Type="http://schemas.openxmlformats.org/officeDocument/2006/relationships/hyperlink" Target="https://jira.harveynash.vn/browse/SD10001236-379" TargetMode="External"/><Relationship Id="rId80" Type="http://schemas.openxmlformats.org/officeDocument/2006/relationships/hyperlink" Target="file:///C:\browse\$value.get(0)" TargetMode="External"/><Relationship Id="rId85" Type="http://schemas.openxmlformats.org/officeDocument/2006/relationships/hyperlink" Target="file:///C:\browse\$value.get(0)" TargetMode="External"/><Relationship Id="rId93" Type="http://schemas.openxmlformats.org/officeDocument/2006/relationships/hyperlink" Target="https://jira.harveynash.vn/secure/attachment/41608/_thumb_41608.png" TargetMode="External"/><Relationship Id="rId98" Type="http://schemas.openxmlformats.org/officeDocument/2006/relationships/hyperlink" Target="http://workspace.harveynash.vn/" TargetMode="External"/><Relationship Id="rId121" Type="http://schemas.openxmlformats.org/officeDocument/2006/relationships/hyperlink" Target="https://jira.harveynash.vn/browse/SD10001236-33" TargetMode="External"/><Relationship Id="rId3" Type="http://schemas.openxmlformats.org/officeDocument/2006/relationships/hyperlink" Target="https://jira.harveynash.vn/secure/attachment/46985/_thumb_46985.png" TargetMode="External"/><Relationship Id="rId12" Type="http://schemas.openxmlformats.org/officeDocument/2006/relationships/hyperlink" Target="https://jira.harveynash.vn/browse/SD10001236-820" TargetMode="External"/><Relationship Id="rId17" Type="http://schemas.openxmlformats.org/officeDocument/2006/relationships/hyperlink" Target="https://jira.harveynash.vn/secure/attachment/45457/_thumb_45457.png" TargetMode="External"/><Relationship Id="rId25" Type="http://schemas.openxmlformats.org/officeDocument/2006/relationships/hyperlink" Target="https://jira.harveynash.vn/browse/SD10001236-379" TargetMode="External"/><Relationship Id="rId33" Type="http://schemas.openxmlformats.org/officeDocument/2006/relationships/hyperlink" Target="http://workspace.harveynash.vn/" TargetMode="External"/><Relationship Id="rId38" Type="http://schemas.openxmlformats.org/officeDocument/2006/relationships/hyperlink" Target="http://workspace.harveynash.vn/" TargetMode="External"/><Relationship Id="rId46" Type="http://schemas.openxmlformats.org/officeDocument/2006/relationships/hyperlink" Target="http://workspace.harveynash.vn/" TargetMode="External"/><Relationship Id="rId59" Type="http://schemas.openxmlformats.org/officeDocument/2006/relationships/hyperlink" Target="https://jira.harveynash.vn/browse/SD10001236-680" TargetMode="External"/><Relationship Id="rId67" Type="http://schemas.openxmlformats.org/officeDocument/2006/relationships/hyperlink" Target="https://jira.harveynash.vn/browse/SD10001236-379" TargetMode="External"/><Relationship Id="rId103" Type="http://schemas.openxmlformats.org/officeDocument/2006/relationships/hyperlink" Target="http://workspace.harveynash.vn/" TargetMode="External"/><Relationship Id="rId108" Type="http://schemas.openxmlformats.org/officeDocument/2006/relationships/hyperlink" Target="http://workspace.harveynash.vn/" TargetMode="External"/><Relationship Id="rId116" Type="http://schemas.openxmlformats.org/officeDocument/2006/relationships/hyperlink" Target="https://jira.harveynash.vn/browse/SD10001236-303" TargetMode="External"/><Relationship Id="rId124" Type="http://schemas.openxmlformats.org/officeDocument/2006/relationships/hyperlink" Target="https://jira.harveynash.vn/browse/SD10001236-379" TargetMode="External"/><Relationship Id="rId20" Type="http://schemas.openxmlformats.org/officeDocument/2006/relationships/hyperlink" Target="https://jira.harveynash.vn/browse/SD10001236-379" TargetMode="External"/><Relationship Id="rId41" Type="http://schemas.openxmlformats.org/officeDocument/2006/relationships/hyperlink" Target="https://jira.harveynash.vn/browse/SD10001236-751" TargetMode="External"/><Relationship Id="rId54" Type="http://schemas.openxmlformats.org/officeDocument/2006/relationships/hyperlink" Target="https://jira.harveynash.vn/browse/SD10001236-691" TargetMode="External"/><Relationship Id="rId62" Type="http://schemas.openxmlformats.org/officeDocument/2006/relationships/hyperlink" Target="file:///C:\browse\$value.get(0)" TargetMode="External"/><Relationship Id="rId70" Type="http://schemas.openxmlformats.org/officeDocument/2006/relationships/hyperlink" Target="http://workspace.harveynash.vn/" TargetMode="External"/><Relationship Id="rId75" Type="http://schemas.openxmlformats.org/officeDocument/2006/relationships/hyperlink" Target="http://workspace.harveynash.vn/" TargetMode="External"/><Relationship Id="rId83" Type="http://schemas.openxmlformats.org/officeDocument/2006/relationships/hyperlink" Target="https://jira.harveynash.vn/secure/attachment/41974/_thumb_41974.png" TargetMode="External"/><Relationship Id="rId88" Type="http://schemas.openxmlformats.org/officeDocument/2006/relationships/hyperlink" Target="https://jira.harveynash.vn/secure/attachment/41615/_thumb_41615.png" TargetMode="External"/><Relationship Id="rId91" Type="http://schemas.openxmlformats.org/officeDocument/2006/relationships/hyperlink" Target="https://jira.harveynash.vn/browse/SD10001236-379" TargetMode="External"/><Relationship Id="rId96" Type="http://schemas.openxmlformats.org/officeDocument/2006/relationships/hyperlink" Target="https://jira.harveynash.vn/browse/SD10001236-379" TargetMode="External"/><Relationship Id="rId111" Type="http://schemas.openxmlformats.org/officeDocument/2006/relationships/hyperlink" Target="https://jira.harveynash.vn/browse/SD10001236-305" TargetMode="External"/><Relationship Id="rId1" Type="http://schemas.openxmlformats.org/officeDocument/2006/relationships/hyperlink" Target="https://jira.harveynash.vn/secure/IssueNavigator.jspa?reset=true&amp;jqlQuery=project+in+%28SPD%2C+SD10001236%29+AND+issuetype+%3D+Bug" TargetMode="External"/><Relationship Id="rId6" Type="http://schemas.openxmlformats.org/officeDocument/2006/relationships/hyperlink" Target="https://jira.harveynash.vn/browse/SD10001236-379" TargetMode="External"/><Relationship Id="rId15" Type="http://schemas.openxmlformats.org/officeDocument/2006/relationships/hyperlink" Target="file:///C:\browse\$value.get(0)" TargetMode="External"/><Relationship Id="rId23" Type="http://schemas.openxmlformats.org/officeDocument/2006/relationships/hyperlink" Target="http://workspace.harveynash.vn/" TargetMode="External"/><Relationship Id="rId28" Type="http://schemas.openxmlformats.org/officeDocument/2006/relationships/hyperlink" Target="http://workspace.harveynash.vn/" TargetMode="External"/><Relationship Id="rId36" Type="http://schemas.openxmlformats.org/officeDocument/2006/relationships/hyperlink" Target="https://jira.harveynash.vn/browse/SD10001236-752" TargetMode="External"/><Relationship Id="rId49" Type="http://schemas.openxmlformats.org/officeDocument/2006/relationships/hyperlink" Target="http://workspace.harveynash.vn/" TargetMode="External"/><Relationship Id="rId57" Type="http://schemas.openxmlformats.org/officeDocument/2006/relationships/hyperlink" Target="file:///C:\browse\$value.get(0)" TargetMode="External"/><Relationship Id="rId106" Type="http://schemas.openxmlformats.org/officeDocument/2006/relationships/hyperlink" Target="https://jira.harveynash.vn/browse/SD10001236-316" TargetMode="External"/><Relationship Id="rId114" Type="http://schemas.openxmlformats.org/officeDocument/2006/relationships/hyperlink" Target="file:///C:\browse\$value.get(0)" TargetMode="External"/><Relationship Id="rId119" Type="http://schemas.openxmlformats.org/officeDocument/2006/relationships/hyperlink" Target="file:///C:\browse\$value.get(0)" TargetMode="External"/><Relationship Id="rId127" Type="http://schemas.openxmlformats.org/officeDocument/2006/relationships/hyperlink" Target="file:///C:\browse\$value.get(0)" TargetMode="External"/><Relationship Id="rId10" Type="http://schemas.openxmlformats.org/officeDocument/2006/relationships/hyperlink" Target="file:///C:\browse\$value.get(0)" TargetMode="External"/><Relationship Id="rId31" Type="http://schemas.openxmlformats.org/officeDocument/2006/relationships/hyperlink" Target="https://jira.harveynash.vn/browse/SD10001236-755" TargetMode="External"/><Relationship Id="rId44" Type="http://schemas.openxmlformats.org/officeDocument/2006/relationships/hyperlink" Target="https://jira.harveynash.vn/browse/SD10001236-744" TargetMode="External"/><Relationship Id="rId52" Type="http://schemas.openxmlformats.org/officeDocument/2006/relationships/hyperlink" Target="http://workspace.harveynash.vn/" TargetMode="External"/><Relationship Id="rId60" Type="http://schemas.openxmlformats.org/officeDocument/2006/relationships/hyperlink" Target="https://jira.harveynash.vn/secure/attachment/44318/_thumb_44318.png" TargetMode="External"/><Relationship Id="rId65" Type="http://schemas.openxmlformats.org/officeDocument/2006/relationships/hyperlink" Target="http://workspace.harveynash.vn/" TargetMode="External"/><Relationship Id="rId73" Type="http://schemas.openxmlformats.org/officeDocument/2006/relationships/hyperlink" Target="https://jira.harveynash.vn/browse/SD10001236-646" TargetMode="External"/><Relationship Id="rId78" Type="http://schemas.openxmlformats.org/officeDocument/2006/relationships/hyperlink" Target="https://jira.harveynash.vn/browse/SD10001236-640" TargetMode="External"/><Relationship Id="rId81" Type="http://schemas.openxmlformats.org/officeDocument/2006/relationships/hyperlink" Target="https://jira.harveynash.vn/browse/SD10001236-379" TargetMode="External"/><Relationship Id="rId86" Type="http://schemas.openxmlformats.org/officeDocument/2006/relationships/hyperlink" Target="https://jira.harveynash.vn/browse/SD10001236-379" TargetMode="External"/><Relationship Id="rId94" Type="http://schemas.openxmlformats.org/officeDocument/2006/relationships/hyperlink" Target="http://workspace.harveynash.vn/" TargetMode="External"/><Relationship Id="rId99" Type="http://schemas.openxmlformats.org/officeDocument/2006/relationships/hyperlink" Target="file:///C:\browse\$value.get(0)" TargetMode="External"/><Relationship Id="rId101" Type="http://schemas.openxmlformats.org/officeDocument/2006/relationships/hyperlink" Target="https://jira.harveynash.vn/browse/SD10001236-319" TargetMode="External"/><Relationship Id="rId122" Type="http://schemas.openxmlformats.org/officeDocument/2006/relationships/hyperlink" Target="http://workspace.harveynash.vn/" TargetMode="External"/><Relationship Id="rId4" Type="http://schemas.openxmlformats.org/officeDocument/2006/relationships/hyperlink" Target="http://workspace.harveynash.vn/" TargetMode="External"/><Relationship Id="rId9" Type="http://schemas.openxmlformats.org/officeDocument/2006/relationships/hyperlink" Target="http://workspace.harveynash.vn/" TargetMode="External"/><Relationship Id="rId13" Type="http://schemas.openxmlformats.org/officeDocument/2006/relationships/hyperlink" Target="https://jira.harveynash.vn/secure/attachment/46241/_thumb_46241.png" TargetMode="External"/><Relationship Id="rId18" Type="http://schemas.openxmlformats.org/officeDocument/2006/relationships/hyperlink" Target="http://workspace.harveynash.vn/" TargetMode="External"/><Relationship Id="rId39" Type="http://schemas.openxmlformats.org/officeDocument/2006/relationships/hyperlink" Target="file:///C:\browse\$value.get(0)" TargetMode="External"/><Relationship Id="rId109" Type="http://schemas.openxmlformats.org/officeDocument/2006/relationships/hyperlink" Target="file:///C:\browse\$value.get(0)" TargetMode="External"/><Relationship Id="rId34" Type="http://schemas.openxmlformats.org/officeDocument/2006/relationships/hyperlink" Target="file:///C:\browse\$value.get(0)" TargetMode="External"/><Relationship Id="rId50" Type="http://schemas.openxmlformats.org/officeDocument/2006/relationships/hyperlink" Target="file:///C:\browse\$value.get(0)" TargetMode="External"/><Relationship Id="rId55" Type="http://schemas.openxmlformats.org/officeDocument/2006/relationships/hyperlink" Target="https://jira.harveynash.vn/secure/attachment/44327/_thumb_44327.png" TargetMode="External"/><Relationship Id="rId76" Type="http://schemas.openxmlformats.org/officeDocument/2006/relationships/hyperlink" Target="file:///C:\browse\$value.get(0)" TargetMode="External"/><Relationship Id="rId97" Type="http://schemas.openxmlformats.org/officeDocument/2006/relationships/hyperlink" Target="https://jira.harveynash.vn/browse/SD10001236-321" TargetMode="External"/><Relationship Id="rId104" Type="http://schemas.openxmlformats.org/officeDocument/2006/relationships/hyperlink" Target="file:///C:\browse\$value.get(0)" TargetMode="External"/><Relationship Id="rId120" Type="http://schemas.openxmlformats.org/officeDocument/2006/relationships/hyperlink" Target="https://jira.harveynash.vn/browse/SD10001236-379" TargetMode="External"/><Relationship Id="rId125" Type="http://schemas.openxmlformats.org/officeDocument/2006/relationships/hyperlink" Target="https://jira.harveynash.vn/browse/SD10001236-31" TargetMode="External"/><Relationship Id="rId7" Type="http://schemas.openxmlformats.org/officeDocument/2006/relationships/hyperlink" Target="https://jira.harveynash.vn/browse/SD10001236-840" TargetMode="External"/><Relationship Id="rId71" Type="http://schemas.openxmlformats.org/officeDocument/2006/relationships/hyperlink" Target="file:///C:\browse\$value.get(0)" TargetMode="External"/><Relationship Id="rId92" Type="http://schemas.openxmlformats.org/officeDocument/2006/relationships/hyperlink" Target="https://jira.harveynash.vn/browse/SD10001236-324" TargetMode="External"/><Relationship Id="rId2" Type="http://schemas.openxmlformats.org/officeDocument/2006/relationships/hyperlink" Target="https://jira.harveynash.vn/browse/SD10001236-918" TargetMode="External"/><Relationship Id="rId29" Type="http://schemas.openxmlformats.org/officeDocument/2006/relationships/hyperlink" Target="file:///C:\browse\$value.get(0)" TargetMode="External"/><Relationship Id="rId24" Type="http://schemas.openxmlformats.org/officeDocument/2006/relationships/hyperlink" Target="file:///C:\browse\$value.get(0)" TargetMode="External"/><Relationship Id="rId40" Type="http://schemas.openxmlformats.org/officeDocument/2006/relationships/hyperlink" Target="https://jira.harveynash.vn/browse/SD10001236-379" TargetMode="External"/><Relationship Id="rId45" Type="http://schemas.openxmlformats.org/officeDocument/2006/relationships/hyperlink" Target="https://jira.harveynash.vn/secure/attachment/44992/_thumb_44992.png" TargetMode="External"/><Relationship Id="rId66" Type="http://schemas.openxmlformats.org/officeDocument/2006/relationships/hyperlink" Target="file:///C:\browse\$value.get(0)" TargetMode="External"/><Relationship Id="rId87" Type="http://schemas.openxmlformats.org/officeDocument/2006/relationships/hyperlink" Target="https://jira.harveynash.vn/browse/SD10001236-327" TargetMode="External"/><Relationship Id="rId110" Type="http://schemas.openxmlformats.org/officeDocument/2006/relationships/hyperlink" Target="https://jira.harveynash.vn/browse/SD10001236-379" TargetMode="External"/><Relationship Id="rId115" Type="http://schemas.openxmlformats.org/officeDocument/2006/relationships/hyperlink" Target="https://jira.harveynash.vn/browse/SD10001236-379" TargetMode="External"/><Relationship Id="rId61" Type="http://schemas.openxmlformats.org/officeDocument/2006/relationships/hyperlink" Target="http://workspace.harveynash.vn/" TargetMode="External"/><Relationship Id="rId82" Type="http://schemas.openxmlformats.org/officeDocument/2006/relationships/hyperlink" Target="https://jira.harveynash.vn/browse/SD10001236-388"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VP47"/>
  <sheetViews>
    <sheetView showGridLines="0" topLeftCell="A19" zoomScaleNormal="100" workbookViewId="0">
      <selection activeCell="A2" sqref="A2"/>
    </sheetView>
  </sheetViews>
  <sheetFormatPr defaultColWidth="0" defaultRowHeight="12.75" zeroHeight="1"/>
  <cols>
    <col min="1" max="1" width="12.5" style="1" customWidth="1"/>
    <col min="2" max="2" width="20.75" style="1" customWidth="1"/>
    <col min="3" max="3" width="19.125" style="1" customWidth="1"/>
    <col min="4" max="4" width="20.25" style="1" customWidth="1"/>
    <col min="5" max="5" width="15.5" style="1" customWidth="1"/>
    <col min="6" max="6" width="8" style="1" customWidth="1"/>
    <col min="7" max="254" width="0" style="1" hidden="1"/>
    <col min="255" max="255" width="8" style="1" hidden="1" customWidth="1"/>
    <col min="256" max="256" width="23.875" style="1" hidden="1" customWidth="1"/>
    <col min="257" max="257" width="18.375" style="1" hidden="1" customWidth="1"/>
    <col min="258" max="258" width="19.125" style="1" hidden="1" customWidth="1"/>
    <col min="259" max="259" width="20.25" style="1" hidden="1" customWidth="1"/>
    <col min="260" max="260" width="15.5" style="1" hidden="1" customWidth="1"/>
    <col min="261" max="262" width="8" style="1" hidden="1" customWidth="1"/>
    <col min="263" max="510" width="0" style="1" hidden="1"/>
    <col min="511" max="511" width="8" style="1" hidden="1" customWidth="1"/>
    <col min="512" max="512" width="23.875" style="1" hidden="1" customWidth="1"/>
    <col min="513" max="513" width="18.375" style="1" hidden="1" customWidth="1"/>
    <col min="514" max="514" width="19.125" style="1" hidden="1" customWidth="1"/>
    <col min="515" max="515" width="20.25" style="1" hidden="1" customWidth="1"/>
    <col min="516" max="516" width="15.5" style="1" hidden="1" customWidth="1"/>
    <col min="517" max="518" width="8" style="1" hidden="1" customWidth="1"/>
    <col min="519" max="766" width="0" style="1" hidden="1"/>
    <col min="767" max="767" width="8" style="1" hidden="1" customWidth="1"/>
    <col min="768" max="768" width="23.875" style="1" hidden="1" customWidth="1"/>
    <col min="769" max="769" width="18.375" style="1" hidden="1" customWidth="1"/>
    <col min="770" max="770" width="19.125" style="1" hidden="1" customWidth="1"/>
    <col min="771" max="771" width="20.25" style="1" hidden="1" customWidth="1"/>
    <col min="772" max="772" width="15.5" style="1" hidden="1" customWidth="1"/>
    <col min="773" max="774" width="8" style="1" hidden="1" customWidth="1"/>
    <col min="775" max="1022" width="0" style="1" hidden="1"/>
    <col min="1023" max="1023" width="8" style="1" hidden="1" customWidth="1"/>
    <col min="1024" max="1024" width="23.875" style="1" hidden="1" customWidth="1"/>
    <col min="1025" max="1025" width="18.375" style="1" hidden="1" customWidth="1"/>
    <col min="1026" max="1026" width="19.125" style="1" hidden="1" customWidth="1"/>
    <col min="1027" max="1027" width="20.25" style="1" hidden="1" customWidth="1"/>
    <col min="1028" max="1028" width="15.5" style="1" hidden="1" customWidth="1"/>
    <col min="1029" max="1030" width="8" style="1" hidden="1" customWidth="1"/>
    <col min="1031" max="1278" width="0" style="1" hidden="1"/>
    <col min="1279" max="1279" width="8" style="1" hidden="1" customWidth="1"/>
    <col min="1280" max="1280" width="23.875" style="1" hidden="1" customWidth="1"/>
    <col min="1281" max="1281" width="18.375" style="1" hidden="1" customWidth="1"/>
    <col min="1282" max="1282" width="19.125" style="1" hidden="1" customWidth="1"/>
    <col min="1283" max="1283" width="20.25" style="1" hidden="1" customWidth="1"/>
    <col min="1284" max="1284" width="15.5" style="1" hidden="1" customWidth="1"/>
    <col min="1285" max="1286" width="8" style="1" hidden="1" customWidth="1"/>
    <col min="1287" max="1534" width="0" style="1" hidden="1"/>
    <col min="1535" max="1535" width="8" style="1" hidden="1" customWidth="1"/>
    <col min="1536" max="1536" width="23.875" style="1" hidden="1" customWidth="1"/>
    <col min="1537" max="1537" width="18.375" style="1" hidden="1" customWidth="1"/>
    <col min="1538" max="1538" width="19.125" style="1" hidden="1" customWidth="1"/>
    <col min="1539" max="1539" width="20.25" style="1" hidden="1" customWidth="1"/>
    <col min="1540" max="1540" width="15.5" style="1" hidden="1" customWidth="1"/>
    <col min="1541" max="1542" width="8" style="1" hidden="1" customWidth="1"/>
    <col min="1543" max="1790" width="0" style="1" hidden="1"/>
    <col min="1791" max="1791" width="8" style="1" hidden="1" customWidth="1"/>
    <col min="1792" max="1792" width="23.875" style="1" hidden="1" customWidth="1"/>
    <col min="1793" max="1793" width="18.375" style="1" hidden="1" customWidth="1"/>
    <col min="1794" max="1794" width="19.125" style="1" hidden="1" customWidth="1"/>
    <col min="1795" max="1795" width="20.25" style="1" hidden="1" customWidth="1"/>
    <col min="1796" max="1796" width="15.5" style="1" hidden="1" customWidth="1"/>
    <col min="1797" max="1798" width="8" style="1" hidden="1" customWidth="1"/>
    <col min="1799" max="2046" width="0" style="1" hidden="1"/>
    <col min="2047" max="2047" width="8" style="1" hidden="1" customWidth="1"/>
    <col min="2048" max="2048" width="23.875" style="1" hidden="1" customWidth="1"/>
    <col min="2049" max="2049" width="18.375" style="1" hidden="1" customWidth="1"/>
    <col min="2050" max="2050" width="19.125" style="1" hidden="1" customWidth="1"/>
    <col min="2051" max="2051" width="20.25" style="1" hidden="1" customWidth="1"/>
    <col min="2052" max="2052" width="15.5" style="1" hidden="1" customWidth="1"/>
    <col min="2053" max="2054" width="8" style="1" hidden="1" customWidth="1"/>
    <col min="2055" max="2302" width="0" style="1" hidden="1"/>
    <col min="2303" max="2303" width="8" style="1" hidden="1" customWidth="1"/>
    <col min="2304" max="2304" width="23.875" style="1" hidden="1" customWidth="1"/>
    <col min="2305" max="2305" width="18.375" style="1" hidden="1" customWidth="1"/>
    <col min="2306" max="2306" width="19.125" style="1" hidden="1" customWidth="1"/>
    <col min="2307" max="2307" width="20.25" style="1" hidden="1" customWidth="1"/>
    <col min="2308" max="2308" width="15.5" style="1" hidden="1" customWidth="1"/>
    <col min="2309" max="2310" width="8" style="1" hidden="1" customWidth="1"/>
    <col min="2311" max="2558" width="0" style="1" hidden="1"/>
    <col min="2559" max="2559" width="8" style="1" hidden="1" customWidth="1"/>
    <col min="2560" max="2560" width="23.875" style="1" hidden="1" customWidth="1"/>
    <col min="2561" max="2561" width="18.375" style="1" hidden="1" customWidth="1"/>
    <col min="2562" max="2562" width="19.125" style="1" hidden="1" customWidth="1"/>
    <col min="2563" max="2563" width="20.25" style="1" hidden="1" customWidth="1"/>
    <col min="2564" max="2564" width="15.5" style="1" hidden="1" customWidth="1"/>
    <col min="2565" max="2566" width="8" style="1" hidden="1" customWidth="1"/>
    <col min="2567" max="2814" width="0" style="1" hidden="1"/>
    <col min="2815" max="2815" width="8" style="1" hidden="1" customWidth="1"/>
    <col min="2816" max="2816" width="23.875" style="1" hidden="1" customWidth="1"/>
    <col min="2817" max="2817" width="18.375" style="1" hidden="1" customWidth="1"/>
    <col min="2818" max="2818" width="19.125" style="1" hidden="1" customWidth="1"/>
    <col min="2819" max="2819" width="20.25" style="1" hidden="1" customWidth="1"/>
    <col min="2820" max="2820" width="15.5" style="1" hidden="1" customWidth="1"/>
    <col min="2821" max="2822" width="8" style="1" hidden="1" customWidth="1"/>
    <col min="2823" max="3070" width="0" style="1" hidden="1"/>
    <col min="3071" max="3071" width="8" style="1" hidden="1" customWidth="1"/>
    <col min="3072" max="3072" width="23.875" style="1" hidden="1" customWidth="1"/>
    <col min="3073" max="3073" width="18.375" style="1" hidden="1" customWidth="1"/>
    <col min="3074" max="3074" width="19.125" style="1" hidden="1" customWidth="1"/>
    <col min="3075" max="3075" width="20.25" style="1" hidden="1" customWidth="1"/>
    <col min="3076" max="3076" width="15.5" style="1" hidden="1" customWidth="1"/>
    <col min="3077" max="3078" width="8" style="1" hidden="1" customWidth="1"/>
    <col min="3079" max="3326" width="0" style="1" hidden="1"/>
    <col min="3327" max="3327" width="8" style="1" hidden="1" customWidth="1"/>
    <col min="3328" max="3328" width="23.875" style="1" hidden="1" customWidth="1"/>
    <col min="3329" max="3329" width="18.375" style="1" hidden="1" customWidth="1"/>
    <col min="3330" max="3330" width="19.125" style="1" hidden="1" customWidth="1"/>
    <col min="3331" max="3331" width="20.25" style="1" hidden="1" customWidth="1"/>
    <col min="3332" max="3332" width="15.5" style="1" hidden="1" customWidth="1"/>
    <col min="3333" max="3334" width="8" style="1" hidden="1" customWidth="1"/>
    <col min="3335" max="3582" width="0" style="1" hidden="1"/>
    <col min="3583" max="3583" width="8" style="1" hidden="1" customWidth="1"/>
    <col min="3584" max="3584" width="23.875" style="1" hidden="1" customWidth="1"/>
    <col min="3585" max="3585" width="18.375" style="1" hidden="1" customWidth="1"/>
    <col min="3586" max="3586" width="19.125" style="1" hidden="1" customWidth="1"/>
    <col min="3587" max="3587" width="20.25" style="1" hidden="1" customWidth="1"/>
    <col min="3588" max="3588" width="15.5" style="1" hidden="1" customWidth="1"/>
    <col min="3589" max="3590" width="8" style="1" hidden="1" customWidth="1"/>
    <col min="3591" max="3838" width="0" style="1" hidden="1"/>
    <col min="3839" max="3839" width="8" style="1" hidden="1" customWidth="1"/>
    <col min="3840" max="3840" width="23.875" style="1" hidden="1" customWidth="1"/>
    <col min="3841" max="3841" width="18.375" style="1" hidden="1" customWidth="1"/>
    <col min="3842" max="3842" width="19.125" style="1" hidden="1" customWidth="1"/>
    <col min="3843" max="3843" width="20.25" style="1" hidden="1" customWidth="1"/>
    <col min="3844" max="3844" width="15.5" style="1" hidden="1" customWidth="1"/>
    <col min="3845" max="3846" width="8" style="1" hidden="1" customWidth="1"/>
    <col min="3847" max="4094" width="0" style="1" hidden="1"/>
    <col min="4095" max="4095" width="8" style="1" hidden="1" customWidth="1"/>
    <col min="4096" max="4096" width="23.875" style="1" hidden="1" customWidth="1"/>
    <col min="4097" max="4097" width="18.375" style="1" hidden="1" customWidth="1"/>
    <col min="4098" max="4098" width="19.125" style="1" hidden="1" customWidth="1"/>
    <col min="4099" max="4099" width="20.25" style="1" hidden="1" customWidth="1"/>
    <col min="4100" max="4100" width="15.5" style="1" hidden="1" customWidth="1"/>
    <col min="4101" max="4102" width="8" style="1" hidden="1" customWidth="1"/>
    <col min="4103" max="4350" width="0" style="1" hidden="1"/>
    <col min="4351" max="4351" width="8" style="1" hidden="1" customWidth="1"/>
    <col min="4352" max="4352" width="23.875" style="1" hidden="1" customWidth="1"/>
    <col min="4353" max="4353" width="18.375" style="1" hidden="1" customWidth="1"/>
    <col min="4354" max="4354" width="19.125" style="1" hidden="1" customWidth="1"/>
    <col min="4355" max="4355" width="20.25" style="1" hidden="1" customWidth="1"/>
    <col min="4356" max="4356" width="15.5" style="1" hidden="1" customWidth="1"/>
    <col min="4357" max="4358" width="8" style="1" hidden="1" customWidth="1"/>
    <col min="4359" max="4606" width="0" style="1" hidden="1"/>
    <col min="4607" max="4607" width="8" style="1" hidden="1" customWidth="1"/>
    <col min="4608" max="4608" width="23.875" style="1" hidden="1" customWidth="1"/>
    <col min="4609" max="4609" width="18.375" style="1" hidden="1" customWidth="1"/>
    <col min="4610" max="4610" width="19.125" style="1" hidden="1" customWidth="1"/>
    <col min="4611" max="4611" width="20.25" style="1" hidden="1" customWidth="1"/>
    <col min="4612" max="4612" width="15.5" style="1" hidden="1" customWidth="1"/>
    <col min="4613" max="4614" width="8" style="1" hidden="1" customWidth="1"/>
    <col min="4615" max="4862" width="0" style="1" hidden="1"/>
    <col min="4863" max="4863" width="8" style="1" hidden="1" customWidth="1"/>
    <col min="4864" max="4864" width="23.875" style="1" hidden="1" customWidth="1"/>
    <col min="4865" max="4865" width="18.375" style="1" hidden="1" customWidth="1"/>
    <col min="4866" max="4866" width="19.125" style="1" hidden="1" customWidth="1"/>
    <col min="4867" max="4867" width="20.25" style="1" hidden="1" customWidth="1"/>
    <col min="4868" max="4868" width="15.5" style="1" hidden="1" customWidth="1"/>
    <col min="4869" max="4870" width="8" style="1" hidden="1" customWidth="1"/>
    <col min="4871" max="5118" width="0" style="1" hidden="1"/>
    <col min="5119" max="5119" width="8" style="1" hidden="1" customWidth="1"/>
    <col min="5120" max="5120" width="23.875" style="1" hidden="1" customWidth="1"/>
    <col min="5121" max="5121" width="18.375" style="1" hidden="1" customWidth="1"/>
    <col min="5122" max="5122" width="19.125" style="1" hidden="1" customWidth="1"/>
    <col min="5123" max="5123" width="20.25" style="1" hidden="1" customWidth="1"/>
    <col min="5124" max="5124" width="15.5" style="1" hidden="1" customWidth="1"/>
    <col min="5125" max="5126" width="8" style="1" hidden="1" customWidth="1"/>
    <col min="5127" max="5374" width="0" style="1" hidden="1"/>
    <col min="5375" max="5375" width="8" style="1" hidden="1" customWidth="1"/>
    <col min="5376" max="5376" width="23.875" style="1" hidden="1" customWidth="1"/>
    <col min="5377" max="5377" width="18.375" style="1" hidden="1" customWidth="1"/>
    <col min="5378" max="5378" width="19.125" style="1" hidden="1" customWidth="1"/>
    <col min="5379" max="5379" width="20.25" style="1" hidden="1" customWidth="1"/>
    <col min="5380" max="5380" width="15.5" style="1" hidden="1" customWidth="1"/>
    <col min="5381" max="5382" width="8" style="1" hidden="1" customWidth="1"/>
    <col min="5383" max="5630" width="0" style="1" hidden="1"/>
    <col min="5631" max="5631" width="8" style="1" hidden="1" customWidth="1"/>
    <col min="5632" max="5632" width="23.875" style="1" hidden="1" customWidth="1"/>
    <col min="5633" max="5633" width="18.375" style="1" hidden="1" customWidth="1"/>
    <col min="5634" max="5634" width="19.125" style="1" hidden="1" customWidth="1"/>
    <col min="5635" max="5635" width="20.25" style="1" hidden="1" customWidth="1"/>
    <col min="5636" max="5636" width="15.5" style="1" hidden="1" customWidth="1"/>
    <col min="5637" max="5638" width="8" style="1" hidden="1" customWidth="1"/>
    <col min="5639" max="5886" width="0" style="1" hidden="1"/>
    <col min="5887" max="5887" width="8" style="1" hidden="1" customWidth="1"/>
    <col min="5888" max="5888" width="23.875" style="1" hidden="1" customWidth="1"/>
    <col min="5889" max="5889" width="18.375" style="1" hidden="1" customWidth="1"/>
    <col min="5890" max="5890" width="19.125" style="1" hidden="1" customWidth="1"/>
    <col min="5891" max="5891" width="20.25" style="1" hidden="1" customWidth="1"/>
    <col min="5892" max="5892" width="15.5" style="1" hidden="1" customWidth="1"/>
    <col min="5893" max="5894" width="8" style="1" hidden="1" customWidth="1"/>
    <col min="5895" max="6142" width="0" style="1" hidden="1"/>
    <col min="6143" max="6143" width="8" style="1" hidden="1" customWidth="1"/>
    <col min="6144" max="6144" width="23.875" style="1" hidden="1" customWidth="1"/>
    <col min="6145" max="6145" width="18.375" style="1" hidden="1" customWidth="1"/>
    <col min="6146" max="6146" width="19.125" style="1" hidden="1" customWidth="1"/>
    <col min="6147" max="6147" width="20.25" style="1" hidden="1" customWidth="1"/>
    <col min="6148" max="6148" width="15.5" style="1" hidden="1" customWidth="1"/>
    <col min="6149" max="6150" width="8" style="1" hidden="1" customWidth="1"/>
    <col min="6151" max="6398" width="0" style="1" hidden="1"/>
    <col min="6399" max="6399" width="8" style="1" hidden="1" customWidth="1"/>
    <col min="6400" max="6400" width="23.875" style="1" hidden="1" customWidth="1"/>
    <col min="6401" max="6401" width="18.375" style="1" hidden="1" customWidth="1"/>
    <col min="6402" max="6402" width="19.125" style="1" hidden="1" customWidth="1"/>
    <col min="6403" max="6403" width="20.25" style="1" hidden="1" customWidth="1"/>
    <col min="6404" max="6404" width="15.5" style="1" hidden="1" customWidth="1"/>
    <col min="6405" max="6406" width="8" style="1" hidden="1" customWidth="1"/>
    <col min="6407" max="6654" width="0" style="1" hidden="1"/>
    <col min="6655" max="6655" width="8" style="1" hidden="1" customWidth="1"/>
    <col min="6656" max="6656" width="23.875" style="1" hidden="1" customWidth="1"/>
    <col min="6657" max="6657" width="18.375" style="1" hidden="1" customWidth="1"/>
    <col min="6658" max="6658" width="19.125" style="1" hidden="1" customWidth="1"/>
    <col min="6659" max="6659" width="20.25" style="1" hidden="1" customWidth="1"/>
    <col min="6660" max="6660" width="15.5" style="1" hidden="1" customWidth="1"/>
    <col min="6661" max="6662" width="8" style="1" hidden="1" customWidth="1"/>
    <col min="6663" max="6910" width="0" style="1" hidden="1"/>
    <col min="6911" max="6911" width="8" style="1" hidden="1" customWidth="1"/>
    <col min="6912" max="6912" width="23.875" style="1" hidden="1" customWidth="1"/>
    <col min="6913" max="6913" width="18.375" style="1" hidden="1" customWidth="1"/>
    <col min="6914" max="6914" width="19.125" style="1" hidden="1" customWidth="1"/>
    <col min="6915" max="6915" width="20.25" style="1" hidden="1" customWidth="1"/>
    <col min="6916" max="6916" width="15.5" style="1" hidden="1" customWidth="1"/>
    <col min="6917" max="6918" width="8" style="1" hidden="1" customWidth="1"/>
    <col min="6919" max="7166" width="0" style="1" hidden="1"/>
    <col min="7167" max="7167" width="8" style="1" hidden="1" customWidth="1"/>
    <col min="7168" max="7168" width="23.875" style="1" hidden="1" customWidth="1"/>
    <col min="7169" max="7169" width="18.375" style="1" hidden="1" customWidth="1"/>
    <col min="7170" max="7170" width="19.125" style="1" hidden="1" customWidth="1"/>
    <col min="7171" max="7171" width="20.25" style="1" hidden="1" customWidth="1"/>
    <col min="7172" max="7172" width="15.5" style="1" hidden="1" customWidth="1"/>
    <col min="7173" max="7174" width="8" style="1" hidden="1" customWidth="1"/>
    <col min="7175" max="7422" width="0" style="1" hidden="1"/>
    <col min="7423" max="7423" width="8" style="1" hidden="1" customWidth="1"/>
    <col min="7424" max="7424" width="23.875" style="1" hidden="1" customWidth="1"/>
    <col min="7425" max="7425" width="18.375" style="1" hidden="1" customWidth="1"/>
    <col min="7426" max="7426" width="19.125" style="1" hidden="1" customWidth="1"/>
    <col min="7427" max="7427" width="20.25" style="1" hidden="1" customWidth="1"/>
    <col min="7428" max="7428" width="15.5" style="1" hidden="1" customWidth="1"/>
    <col min="7429" max="7430" width="8" style="1" hidden="1" customWidth="1"/>
    <col min="7431" max="7678" width="0" style="1" hidden="1"/>
    <col min="7679" max="7679" width="8" style="1" hidden="1" customWidth="1"/>
    <col min="7680" max="7680" width="23.875" style="1" hidden="1" customWidth="1"/>
    <col min="7681" max="7681" width="18.375" style="1" hidden="1" customWidth="1"/>
    <col min="7682" max="7682" width="19.125" style="1" hidden="1" customWidth="1"/>
    <col min="7683" max="7683" width="20.25" style="1" hidden="1" customWidth="1"/>
    <col min="7684" max="7684" width="15.5" style="1" hidden="1" customWidth="1"/>
    <col min="7685" max="7686" width="8" style="1" hidden="1" customWidth="1"/>
    <col min="7687" max="7934" width="0" style="1" hidden="1"/>
    <col min="7935" max="7935" width="8" style="1" hidden="1" customWidth="1"/>
    <col min="7936" max="7936" width="23.875" style="1" hidden="1" customWidth="1"/>
    <col min="7937" max="7937" width="18.375" style="1" hidden="1" customWidth="1"/>
    <col min="7938" max="7938" width="19.125" style="1" hidden="1" customWidth="1"/>
    <col min="7939" max="7939" width="20.25" style="1" hidden="1" customWidth="1"/>
    <col min="7940" max="7940" width="15.5" style="1" hidden="1" customWidth="1"/>
    <col min="7941" max="7942" width="8" style="1" hidden="1" customWidth="1"/>
    <col min="7943" max="8190" width="0" style="1" hidden="1"/>
    <col min="8191" max="8191" width="8" style="1" hidden="1" customWidth="1"/>
    <col min="8192" max="8192" width="23.875" style="1" hidden="1" customWidth="1"/>
    <col min="8193" max="8193" width="18.375" style="1" hidden="1" customWidth="1"/>
    <col min="8194" max="8194" width="19.125" style="1" hidden="1" customWidth="1"/>
    <col min="8195" max="8195" width="20.25" style="1" hidden="1" customWidth="1"/>
    <col min="8196" max="8196" width="15.5" style="1" hidden="1" customWidth="1"/>
    <col min="8197" max="8198" width="8" style="1" hidden="1" customWidth="1"/>
    <col min="8199" max="8446" width="0" style="1" hidden="1"/>
    <col min="8447" max="8447" width="8" style="1" hidden="1" customWidth="1"/>
    <col min="8448" max="8448" width="23.875" style="1" hidden="1" customWidth="1"/>
    <col min="8449" max="8449" width="18.375" style="1" hidden="1" customWidth="1"/>
    <col min="8450" max="8450" width="19.125" style="1" hidden="1" customWidth="1"/>
    <col min="8451" max="8451" width="20.25" style="1" hidden="1" customWidth="1"/>
    <col min="8452" max="8452" width="15.5" style="1" hidden="1" customWidth="1"/>
    <col min="8453" max="8454" width="8" style="1" hidden="1" customWidth="1"/>
    <col min="8455" max="8702" width="0" style="1" hidden="1"/>
    <col min="8703" max="8703" width="8" style="1" hidden="1" customWidth="1"/>
    <col min="8704" max="8704" width="23.875" style="1" hidden="1" customWidth="1"/>
    <col min="8705" max="8705" width="18.375" style="1" hidden="1" customWidth="1"/>
    <col min="8706" max="8706" width="19.125" style="1" hidden="1" customWidth="1"/>
    <col min="8707" max="8707" width="20.25" style="1" hidden="1" customWidth="1"/>
    <col min="8708" max="8708" width="15.5" style="1" hidden="1" customWidth="1"/>
    <col min="8709" max="8710" width="8" style="1" hidden="1" customWidth="1"/>
    <col min="8711" max="8958" width="0" style="1" hidden="1"/>
    <col min="8959" max="8959" width="8" style="1" hidden="1" customWidth="1"/>
    <col min="8960" max="8960" width="23.875" style="1" hidden="1" customWidth="1"/>
    <col min="8961" max="8961" width="18.375" style="1" hidden="1" customWidth="1"/>
    <col min="8962" max="8962" width="19.125" style="1" hidden="1" customWidth="1"/>
    <col min="8963" max="8963" width="20.25" style="1" hidden="1" customWidth="1"/>
    <col min="8964" max="8964" width="15.5" style="1" hidden="1" customWidth="1"/>
    <col min="8965" max="8966" width="8" style="1" hidden="1" customWidth="1"/>
    <col min="8967" max="9214" width="0" style="1" hidden="1"/>
    <col min="9215" max="9215" width="8" style="1" hidden="1" customWidth="1"/>
    <col min="9216" max="9216" width="23.875" style="1" hidden="1" customWidth="1"/>
    <col min="9217" max="9217" width="18.375" style="1" hidden="1" customWidth="1"/>
    <col min="9218" max="9218" width="19.125" style="1" hidden="1" customWidth="1"/>
    <col min="9219" max="9219" width="20.25" style="1" hidden="1" customWidth="1"/>
    <col min="9220" max="9220" width="15.5" style="1" hidden="1" customWidth="1"/>
    <col min="9221" max="9222" width="8" style="1" hidden="1" customWidth="1"/>
    <col min="9223" max="9470" width="0" style="1" hidden="1"/>
    <col min="9471" max="9471" width="8" style="1" hidden="1" customWidth="1"/>
    <col min="9472" max="9472" width="23.875" style="1" hidden="1" customWidth="1"/>
    <col min="9473" max="9473" width="18.375" style="1" hidden="1" customWidth="1"/>
    <col min="9474" max="9474" width="19.125" style="1" hidden="1" customWidth="1"/>
    <col min="9475" max="9475" width="20.25" style="1" hidden="1" customWidth="1"/>
    <col min="9476" max="9476" width="15.5" style="1" hidden="1" customWidth="1"/>
    <col min="9477" max="9478" width="8" style="1" hidden="1" customWidth="1"/>
    <col min="9479" max="9726" width="0" style="1" hidden="1"/>
    <col min="9727" max="9727" width="8" style="1" hidden="1" customWidth="1"/>
    <col min="9728" max="9728" width="23.875" style="1" hidden="1" customWidth="1"/>
    <col min="9729" max="9729" width="18.375" style="1" hidden="1" customWidth="1"/>
    <col min="9730" max="9730" width="19.125" style="1" hidden="1" customWidth="1"/>
    <col min="9731" max="9731" width="20.25" style="1" hidden="1" customWidth="1"/>
    <col min="9732" max="9732" width="15.5" style="1" hidden="1" customWidth="1"/>
    <col min="9733" max="9734" width="8" style="1" hidden="1" customWidth="1"/>
    <col min="9735" max="9982" width="0" style="1" hidden="1"/>
    <col min="9983" max="9983" width="8" style="1" hidden="1" customWidth="1"/>
    <col min="9984" max="9984" width="23.875" style="1" hidden="1" customWidth="1"/>
    <col min="9985" max="9985" width="18.375" style="1" hidden="1" customWidth="1"/>
    <col min="9986" max="9986" width="19.125" style="1" hidden="1" customWidth="1"/>
    <col min="9987" max="9987" width="20.25" style="1" hidden="1" customWidth="1"/>
    <col min="9988" max="9988" width="15.5" style="1" hidden="1" customWidth="1"/>
    <col min="9989" max="9990" width="8" style="1" hidden="1" customWidth="1"/>
    <col min="9991" max="10238" width="0" style="1" hidden="1"/>
    <col min="10239" max="10239" width="8" style="1" hidden="1" customWidth="1"/>
    <col min="10240" max="10240" width="23.875" style="1" hidden="1" customWidth="1"/>
    <col min="10241" max="10241" width="18.375" style="1" hidden="1" customWidth="1"/>
    <col min="10242" max="10242" width="19.125" style="1" hidden="1" customWidth="1"/>
    <col min="10243" max="10243" width="20.25" style="1" hidden="1" customWidth="1"/>
    <col min="10244" max="10244" width="15.5" style="1" hidden="1" customWidth="1"/>
    <col min="10245" max="10246" width="8" style="1" hidden="1" customWidth="1"/>
    <col min="10247" max="10494" width="0" style="1" hidden="1"/>
    <col min="10495" max="10495" width="8" style="1" hidden="1" customWidth="1"/>
    <col min="10496" max="10496" width="23.875" style="1" hidden="1" customWidth="1"/>
    <col min="10497" max="10497" width="18.375" style="1" hidden="1" customWidth="1"/>
    <col min="10498" max="10498" width="19.125" style="1" hidden="1" customWidth="1"/>
    <col min="10499" max="10499" width="20.25" style="1" hidden="1" customWidth="1"/>
    <col min="10500" max="10500" width="15.5" style="1" hidden="1" customWidth="1"/>
    <col min="10501" max="10502" width="8" style="1" hidden="1" customWidth="1"/>
    <col min="10503" max="10750" width="0" style="1" hidden="1"/>
    <col min="10751" max="10751" width="8" style="1" hidden="1" customWidth="1"/>
    <col min="10752" max="10752" width="23.875" style="1" hidden="1" customWidth="1"/>
    <col min="10753" max="10753" width="18.375" style="1" hidden="1" customWidth="1"/>
    <col min="10754" max="10754" width="19.125" style="1" hidden="1" customWidth="1"/>
    <col min="10755" max="10755" width="20.25" style="1" hidden="1" customWidth="1"/>
    <col min="10756" max="10756" width="15.5" style="1" hidden="1" customWidth="1"/>
    <col min="10757" max="10758" width="8" style="1" hidden="1" customWidth="1"/>
    <col min="10759" max="11006" width="0" style="1" hidden="1"/>
    <col min="11007" max="11007" width="8" style="1" hidden="1" customWidth="1"/>
    <col min="11008" max="11008" width="23.875" style="1" hidden="1" customWidth="1"/>
    <col min="11009" max="11009" width="18.375" style="1" hidden="1" customWidth="1"/>
    <col min="11010" max="11010" width="19.125" style="1" hidden="1" customWidth="1"/>
    <col min="11011" max="11011" width="20.25" style="1" hidden="1" customWidth="1"/>
    <col min="11012" max="11012" width="15.5" style="1" hidden="1" customWidth="1"/>
    <col min="11013" max="11014" width="8" style="1" hidden="1" customWidth="1"/>
    <col min="11015" max="11262" width="0" style="1" hidden="1"/>
    <col min="11263" max="11263" width="8" style="1" hidden="1" customWidth="1"/>
    <col min="11264" max="11264" width="23.875" style="1" hidden="1" customWidth="1"/>
    <col min="11265" max="11265" width="18.375" style="1" hidden="1" customWidth="1"/>
    <col min="11266" max="11266" width="19.125" style="1" hidden="1" customWidth="1"/>
    <col min="11267" max="11267" width="20.25" style="1" hidden="1" customWidth="1"/>
    <col min="11268" max="11268" width="15.5" style="1" hidden="1" customWidth="1"/>
    <col min="11269" max="11270" width="8" style="1" hidden="1" customWidth="1"/>
    <col min="11271" max="11518" width="0" style="1" hidden="1"/>
    <col min="11519" max="11519" width="8" style="1" hidden="1" customWidth="1"/>
    <col min="11520" max="11520" width="23.875" style="1" hidden="1" customWidth="1"/>
    <col min="11521" max="11521" width="18.375" style="1" hidden="1" customWidth="1"/>
    <col min="11522" max="11522" width="19.125" style="1" hidden="1" customWidth="1"/>
    <col min="11523" max="11523" width="20.25" style="1" hidden="1" customWidth="1"/>
    <col min="11524" max="11524" width="15.5" style="1" hidden="1" customWidth="1"/>
    <col min="11525" max="11526" width="8" style="1" hidden="1" customWidth="1"/>
    <col min="11527" max="11774" width="0" style="1" hidden="1"/>
    <col min="11775" max="11775" width="8" style="1" hidden="1" customWidth="1"/>
    <col min="11776" max="11776" width="23.875" style="1" hidden="1" customWidth="1"/>
    <col min="11777" max="11777" width="18.375" style="1" hidden="1" customWidth="1"/>
    <col min="11778" max="11778" width="19.125" style="1" hidden="1" customWidth="1"/>
    <col min="11779" max="11779" width="20.25" style="1" hidden="1" customWidth="1"/>
    <col min="11780" max="11780" width="15.5" style="1" hidden="1" customWidth="1"/>
    <col min="11781" max="11782" width="8" style="1" hidden="1" customWidth="1"/>
    <col min="11783" max="12030" width="0" style="1" hidden="1"/>
    <col min="12031" max="12031" width="8" style="1" hidden="1" customWidth="1"/>
    <col min="12032" max="12032" width="23.875" style="1" hidden="1" customWidth="1"/>
    <col min="12033" max="12033" width="18.375" style="1" hidden="1" customWidth="1"/>
    <col min="12034" max="12034" width="19.125" style="1" hidden="1" customWidth="1"/>
    <col min="12035" max="12035" width="20.25" style="1" hidden="1" customWidth="1"/>
    <col min="12036" max="12036" width="15.5" style="1" hidden="1" customWidth="1"/>
    <col min="12037" max="12038" width="8" style="1" hidden="1" customWidth="1"/>
    <col min="12039" max="12286" width="0" style="1" hidden="1"/>
    <col min="12287" max="12287" width="8" style="1" hidden="1" customWidth="1"/>
    <col min="12288" max="12288" width="23.875" style="1" hidden="1" customWidth="1"/>
    <col min="12289" max="12289" width="18.375" style="1" hidden="1" customWidth="1"/>
    <col min="12290" max="12290" width="19.125" style="1" hidden="1" customWidth="1"/>
    <col min="12291" max="12291" width="20.25" style="1" hidden="1" customWidth="1"/>
    <col min="12292" max="12292" width="15.5" style="1" hidden="1" customWidth="1"/>
    <col min="12293" max="12294" width="8" style="1" hidden="1" customWidth="1"/>
    <col min="12295" max="12542" width="0" style="1" hidden="1"/>
    <col min="12543" max="12543" width="8" style="1" hidden="1" customWidth="1"/>
    <col min="12544" max="12544" width="23.875" style="1" hidden="1" customWidth="1"/>
    <col min="12545" max="12545" width="18.375" style="1" hidden="1" customWidth="1"/>
    <col min="12546" max="12546" width="19.125" style="1" hidden="1" customWidth="1"/>
    <col min="12547" max="12547" width="20.25" style="1" hidden="1" customWidth="1"/>
    <col min="12548" max="12548" width="15.5" style="1" hidden="1" customWidth="1"/>
    <col min="12549" max="12550" width="8" style="1" hidden="1" customWidth="1"/>
    <col min="12551" max="12798" width="0" style="1" hidden="1"/>
    <col min="12799" max="12799" width="8" style="1" hidden="1" customWidth="1"/>
    <col min="12800" max="12800" width="23.875" style="1" hidden="1" customWidth="1"/>
    <col min="12801" max="12801" width="18.375" style="1" hidden="1" customWidth="1"/>
    <col min="12802" max="12802" width="19.125" style="1" hidden="1" customWidth="1"/>
    <col min="12803" max="12803" width="20.25" style="1" hidden="1" customWidth="1"/>
    <col min="12804" max="12804" width="15.5" style="1" hidden="1" customWidth="1"/>
    <col min="12805" max="12806" width="8" style="1" hidden="1" customWidth="1"/>
    <col min="12807" max="13054" width="0" style="1" hidden="1"/>
    <col min="13055" max="13055" width="8" style="1" hidden="1" customWidth="1"/>
    <col min="13056" max="13056" width="23.875" style="1" hidden="1" customWidth="1"/>
    <col min="13057" max="13057" width="18.375" style="1" hidden="1" customWidth="1"/>
    <col min="13058" max="13058" width="19.125" style="1" hidden="1" customWidth="1"/>
    <col min="13059" max="13059" width="20.25" style="1" hidden="1" customWidth="1"/>
    <col min="13060" max="13060" width="15.5" style="1" hidden="1" customWidth="1"/>
    <col min="13061" max="13062" width="8" style="1" hidden="1" customWidth="1"/>
    <col min="13063" max="13310" width="0" style="1" hidden="1"/>
    <col min="13311" max="13311" width="8" style="1" hidden="1" customWidth="1"/>
    <col min="13312" max="13312" width="23.875" style="1" hidden="1" customWidth="1"/>
    <col min="13313" max="13313" width="18.375" style="1" hidden="1" customWidth="1"/>
    <col min="13314" max="13314" width="19.125" style="1" hidden="1" customWidth="1"/>
    <col min="13315" max="13315" width="20.25" style="1" hidden="1" customWidth="1"/>
    <col min="13316" max="13316" width="15.5" style="1" hidden="1" customWidth="1"/>
    <col min="13317" max="13318" width="8" style="1" hidden="1" customWidth="1"/>
    <col min="13319" max="13566" width="0" style="1" hidden="1"/>
    <col min="13567" max="13567" width="8" style="1" hidden="1" customWidth="1"/>
    <col min="13568" max="13568" width="23.875" style="1" hidden="1" customWidth="1"/>
    <col min="13569" max="13569" width="18.375" style="1" hidden="1" customWidth="1"/>
    <col min="13570" max="13570" width="19.125" style="1" hidden="1" customWidth="1"/>
    <col min="13571" max="13571" width="20.25" style="1" hidden="1" customWidth="1"/>
    <col min="13572" max="13572" width="15.5" style="1" hidden="1" customWidth="1"/>
    <col min="13573" max="13574" width="8" style="1" hidden="1" customWidth="1"/>
    <col min="13575" max="13822" width="0" style="1" hidden="1"/>
    <col min="13823" max="13823" width="8" style="1" hidden="1" customWidth="1"/>
    <col min="13824" max="13824" width="23.875" style="1" hidden="1" customWidth="1"/>
    <col min="13825" max="13825" width="18.375" style="1" hidden="1" customWidth="1"/>
    <col min="13826" max="13826" width="19.125" style="1" hidden="1" customWidth="1"/>
    <col min="13827" max="13827" width="20.25" style="1" hidden="1" customWidth="1"/>
    <col min="13828" max="13828" width="15.5" style="1" hidden="1" customWidth="1"/>
    <col min="13829" max="13830" width="8" style="1" hidden="1" customWidth="1"/>
    <col min="13831" max="14078" width="0" style="1" hidden="1"/>
    <col min="14079" max="14079" width="8" style="1" hidden="1" customWidth="1"/>
    <col min="14080" max="14080" width="23.875" style="1" hidden="1" customWidth="1"/>
    <col min="14081" max="14081" width="18.375" style="1" hidden="1" customWidth="1"/>
    <col min="14082" max="14082" width="19.125" style="1" hidden="1" customWidth="1"/>
    <col min="14083" max="14083" width="20.25" style="1" hidden="1" customWidth="1"/>
    <col min="14084" max="14084" width="15.5" style="1" hidden="1" customWidth="1"/>
    <col min="14085" max="14086" width="8" style="1" hidden="1" customWidth="1"/>
    <col min="14087" max="14334" width="0" style="1" hidden="1"/>
    <col min="14335" max="14335" width="8" style="1" hidden="1" customWidth="1"/>
    <col min="14336" max="14336" width="23.875" style="1" hidden="1" customWidth="1"/>
    <col min="14337" max="14337" width="18.375" style="1" hidden="1" customWidth="1"/>
    <col min="14338" max="14338" width="19.125" style="1" hidden="1" customWidth="1"/>
    <col min="14339" max="14339" width="20.25" style="1" hidden="1" customWidth="1"/>
    <col min="14340" max="14340" width="15.5" style="1" hidden="1" customWidth="1"/>
    <col min="14341" max="14342" width="8" style="1" hidden="1" customWidth="1"/>
    <col min="14343" max="14590" width="0" style="1" hidden="1"/>
    <col min="14591" max="14591" width="8" style="1" hidden="1" customWidth="1"/>
    <col min="14592" max="14592" width="23.875" style="1" hidden="1" customWidth="1"/>
    <col min="14593" max="14593" width="18.375" style="1" hidden="1" customWidth="1"/>
    <col min="14594" max="14594" width="19.125" style="1" hidden="1" customWidth="1"/>
    <col min="14595" max="14595" width="20.25" style="1" hidden="1" customWidth="1"/>
    <col min="14596" max="14596" width="15.5" style="1" hidden="1" customWidth="1"/>
    <col min="14597" max="14598" width="8" style="1" hidden="1" customWidth="1"/>
    <col min="14599" max="14846" width="0" style="1" hidden="1"/>
    <col min="14847" max="14847" width="8" style="1" hidden="1" customWidth="1"/>
    <col min="14848" max="14848" width="23.875" style="1" hidden="1" customWidth="1"/>
    <col min="14849" max="14849" width="18.375" style="1" hidden="1" customWidth="1"/>
    <col min="14850" max="14850" width="19.125" style="1" hidden="1" customWidth="1"/>
    <col min="14851" max="14851" width="20.25" style="1" hidden="1" customWidth="1"/>
    <col min="14852" max="14852" width="15.5" style="1" hidden="1" customWidth="1"/>
    <col min="14853" max="14854" width="8" style="1" hidden="1" customWidth="1"/>
    <col min="14855" max="15102" width="0" style="1" hidden="1"/>
    <col min="15103" max="15103" width="8" style="1" hidden="1" customWidth="1"/>
    <col min="15104" max="15104" width="23.875" style="1" hidden="1" customWidth="1"/>
    <col min="15105" max="15105" width="18.375" style="1" hidden="1" customWidth="1"/>
    <col min="15106" max="15106" width="19.125" style="1" hidden="1" customWidth="1"/>
    <col min="15107" max="15107" width="20.25" style="1" hidden="1" customWidth="1"/>
    <col min="15108" max="15108" width="15.5" style="1" hidden="1" customWidth="1"/>
    <col min="15109" max="15110" width="8" style="1" hidden="1" customWidth="1"/>
    <col min="15111" max="15358" width="0" style="1" hidden="1"/>
    <col min="15359" max="15359" width="8" style="1" hidden="1" customWidth="1"/>
    <col min="15360" max="15360" width="23.875" style="1" hidden="1" customWidth="1"/>
    <col min="15361" max="15361" width="18.375" style="1" hidden="1" customWidth="1"/>
    <col min="15362" max="15362" width="19.125" style="1" hidden="1" customWidth="1"/>
    <col min="15363" max="15363" width="20.25" style="1" hidden="1" customWidth="1"/>
    <col min="15364" max="15364" width="15.5" style="1" hidden="1" customWidth="1"/>
    <col min="15365" max="15366" width="8" style="1" hidden="1" customWidth="1"/>
    <col min="15367" max="15614" width="0" style="1" hidden="1"/>
    <col min="15615" max="15615" width="8" style="1" hidden="1" customWidth="1"/>
    <col min="15616" max="15616" width="23.875" style="1" hidden="1" customWidth="1"/>
    <col min="15617" max="15617" width="18.375" style="1" hidden="1" customWidth="1"/>
    <col min="15618" max="15618" width="19.125" style="1" hidden="1" customWidth="1"/>
    <col min="15619" max="15619" width="20.25" style="1" hidden="1" customWidth="1"/>
    <col min="15620" max="15620" width="15.5" style="1" hidden="1" customWidth="1"/>
    <col min="15621" max="15622" width="8" style="1" hidden="1" customWidth="1"/>
    <col min="15623" max="15870" width="0" style="1" hidden="1"/>
    <col min="15871" max="15871" width="8" style="1" hidden="1" customWidth="1"/>
    <col min="15872" max="15872" width="23.875" style="1" hidden="1" customWidth="1"/>
    <col min="15873" max="15873" width="18.375" style="1" hidden="1" customWidth="1"/>
    <col min="15874" max="15874" width="19.125" style="1" hidden="1" customWidth="1"/>
    <col min="15875" max="15875" width="20.25" style="1" hidden="1" customWidth="1"/>
    <col min="15876" max="15876" width="15.5" style="1" hidden="1" customWidth="1"/>
    <col min="15877" max="15878" width="8" style="1" hidden="1" customWidth="1"/>
    <col min="15879" max="16126" width="0" style="1" hidden="1"/>
    <col min="16127" max="16127" width="8" style="1" hidden="1" customWidth="1"/>
    <col min="16128" max="16128" width="23.875" style="1" hidden="1" customWidth="1"/>
    <col min="16129" max="16129" width="18.375" style="1" hidden="1" customWidth="1"/>
    <col min="16130" max="16130" width="19.125" style="1" hidden="1" customWidth="1"/>
    <col min="16131" max="16131" width="20.25" style="1" hidden="1" customWidth="1"/>
    <col min="16132" max="16132" width="15.5" style="1" hidden="1" customWidth="1"/>
    <col min="16133" max="16134" width="8" style="1" hidden="1" customWidth="1"/>
    <col min="16135" max="16136" width="8" style="1" hidden="1"/>
    <col min="16137" max="16384" width="0" style="1" hidden="1"/>
  </cols>
  <sheetData>
    <row r="1" spans="1:5" s="4" customFormat="1" ht="15">
      <c r="A1" s="5"/>
      <c r="D1" s="8"/>
      <c r="E1" s="10" t="s">
        <v>19</v>
      </c>
    </row>
    <row r="2" spans="1:5" ht="20.25">
      <c r="A2" s="11" t="s">
        <v>16</v>
      </c>
    </row>
    <row r="3" spans="1:5"/>
    <row r="4" spans="1:5" s="9" customFormat="1" ht="21" customHeight="1">
      <c r="A4" s="167" t="s">
        <v>12</v>
      </c>
      <c r="B4" s="167"/>
      <c r="C4" s="167"/>
      <c r="D4" s="167"/>
      <c r="E4" s="167"/>
    </row>
    <row r="5" spans="1:5" s="9" customFormat="1">
      <c r="A5" s="168" t="s">
        <v>11</v>
      </c>
      <c r="B5" s="168"/>
      <c r="C5" s="168" t="s">
        <v>10</v>
      </c>
      <c r="D5" s="168"/>
      <c r="E5" s="168"/>
    </row>
    <row r="6" spans="1:5" ht="27" customHeight="1">
      <c r="A6" s="173" t="s">
        <v>21</v>
      </c>
      <c r="B6" s="173"/>
      <c r="C6" s="174" t="s">
        <v>20</v>
      </c>
      <c r="D6" s="174"/>
      <c r="E6" s="174"/>
    </row>
    <row r="7" spans="1:5" ht="29.25" customHeight="1"/>
    <row r="8" spans="1:5" s="9" customFormat="1" ht="15" customHeight="1">
      <c r="A8" s="167" t="s">
        <v>9</v>
      </c>
      <c r="B8" s="167"/>
      <c r="C8" s="167"/>
      <c r="D8" s="167"/>
      <c r="E8" s="167"/>
    </row>
    <row r="9" spans="1:5" s="9" customFormat="1">
      <c r="A9" s="35" t="s">
        <v>0</v>
      </c>
      <c r="B9" s="35" t="s">
        <v>8</v>
      </c>
      <c r="C9" s="35" t="s">
        <v>463</v>
      </c>
      <c r="D9" s="168" t="s">
        <v>7</v>
      </c>
      <c r="E9" s="168"/>
    </row>
    <row r="10" spans="1:5">
      <c r="A10" s="79" t="s">
        <v>450</v>
      </c>
      <c r="B10" s="84">
        <v>40325</v>
      </c>
      <c r="C10" s="36" t="s">
        <v>22</v>
      </c>
      <c r="D10" s="169" t="s">
        <v>6</v>
      </c>
      <c r="E10" s="169"/>
    </row>
    <row r="11" spans="1:5">
      <c r="A11" s="80">
        <v>1.1000000000000001</v>
      </c>
      <c r="B11" s="84">
        <v>41921</v>
      </c>
      <c r="C11" s="37" t="s">
        <v>23</v>
      </c>
      <c r="D11" s="169" t="s">
        <v>24</v>
      </c>
      <c r="E11" s="169"/>
    </row>
    <row r="12" spans="1:5" ht="12.75" customHeight="1">
      <c r="A12" s="80">
        <v>1.2</v>
      </c>
      <c r="B12" s="84">
        <v>42655</v>
      </c>
      <c r="C12" s="37" t="s">
        <v>25</v>
      </c>
      <c r="D12" s="170" t="s">
        <v>26</v>
      </c>
      <c r="E12" s="170"/>
    </row>
    <row r="13" spans="1:5" ht="12.75" customHeight="1">
      <c r="A13" s="80" t="s">
        <v>451</v>
      </c>
      <c r="B13" s="85">
        <v>42699</v>
      </c>
      <c r="C13" s="38" t="s">
        <v>453</v>
      </c>
      <c r="D13" s="171" t="s">
        <v>452</v>
      </c>
      <c r="E13" s="172"/>
    </row>
    <row r="14" spans="1:5">
      <c r="A14" s="80"/>
      <c r="B14" s="85"/>
      <c r="C14" s="38"/>
      <c r="D14" s="172"/>
      <c r="E14" s="172"/>
    </row>
    <row r="15" spans="1:5"/>
    <row r="16" spans="1:5" ht="24.75" customHeight="1">
      <c r="A16" s="11" t="s">
        <v>17</v>
      </c>
    </row>
    <row r="17" spans="1:5" ht="18">
      <c r="A17" s="2"/>
    </row>
    <row r="18" spans="1:5" s="9" customFormat="1">
      <c r="A18" s="167" t="s">
        <v>5</v>
      </c>
      <c r="B18" s="167"/>
      <c r="C18" s="167"/>
      <c r="D18" s="167"/>
      <c r="E18" s="167"/>
    </row>
    <row r="19" spans="1:5" s="9" customFormat="1">
      <c r="A19" s="35" t="s">
        <v>4</v>
      </c>
      <c r="B19" s="35" t="s">
        <v>3</v>
      </c>
      <c r="C19" s="35" t="s">
        <v>2</v>
      </c>
      <c r="D19" s="35" t="s">
        <v>1</v>
      </c>
      <c r="E19" s="35" t="s">
        <v>0</v>
      </c>
    </row>
    <row r="20" spans="1:5">
      <c r="A20" s="164" t="s">
        <v>18</v>
      </c>
      <c r="B20" s="164" t="s">
        <v>27</v>
      </c>
      <c r="C20" s="164" t="s">
        <v>28</v>
      </c>
      <c r="D20" s="206">
        <v>40325</v>
      </c>
      <c r="E20" s="207">
        <v>1</v>
      </c>
    </row>
    <row r="21" spans="1:5">
      <c r="A21" s="164" t="s">
        <v>22</v>
      </c>
      <c r="B21" s="164" t="s">
        <v>29</v>
      </c>
      <c r="C21" s="164" t="s">
        <v>28</v>
      </c>
      <c r="D21" s="206">
        <v>42655</v>
      </c>
      <c r="E21" s="207">
        <v>1.2</v>
      </c>
    </row>
    <row r="22" spans="1:5">
      <c r="A22" s="164" t="s">
        <v>18</v>
      </c>
      <c r="B22" s="164" t="s">
        <v>27</v>
      </c>
      <c r="C22" s="164" t="s">
        <v>28</v>
      </c>
      <c r="D22" s="206">
        <v>42664</v>
      </c>
      <c r="E22" s="207">
        <v>1.2</v>
      </c>
    </row>
    <row r="23" spans="1:5"/>
    <row r="24" spans="1:5" ht="7.5" customHeight="1"/>
    <row r="25" spans="1:5" hidden="1"/>
    <row r="26" spans="1:5" hidden="1"/>
    <row r="27" spans="1:5" hidden="1"/>
    <row r="28" spans="1:5" hidden="1"/>
    <row r="29" spans="1:5" ht="11.25" hidden="1" customHeight="1"/>
    <row r="30" spans="1:5" hidden="1"/>
    <row r="31" spans="1:5" hidden="1"/>
    <row r="32" spans="1:5" hidden="1"/>
    <row r="33" hidden="1"/>
    <row r="34" hidden="1"/>
    <row r="35" hidden="1"/>
    <row r="36" hidden="1"/>
    <row r="37" hidden="1"/>
    <row r="38" hidden="1"/>
    <row r="39" hidden="1"/>
    <row r="40" hidden="1"/>
    <row r="41" hidden="1"/>
    <row r="42" hidden="1"/>
    <row r="43" hidden="1"/>
    <row r="44" hidden="1"/>
    <row r="45" hidden="1"/>
    <row r="46" hidden="1"/>
    <row r="47" hidden="1"/>
  </sheetData>
  <mergeCells count="13">
    <mergeCell ref="A4:E4"/>
    <mergeCell ref="A8:E8"/>
    <mergeCell ref="A5:B5"/>
    <mergeCell ref="A6:B6"/>
    <mergeCell ref="C6:E6"/>
    <mergeCell ref="C5:E5"/>
    <mergeCell ref="A18:E18"/>
    <mergeCell ref="D9:E9"/>
    <mergeCell ref="D10:E10"/>
    <mergeCell ref="D11:E11"/>
    <mergeCell ref="D12:E12"/>
    <mergeCell ref="D13:E13"/>
    <mergeCell ref="D14:E14"/>
  </mergeCells>
  <hyperlinks>
    <hyperlink ref="C6:E6" r:id="rId1" display="Process Asset Library"/>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62"/>
  <sheetViews>
    <sheetView showGridLines="0" tabSelected="1" zoomScaleNormal="100" workbookViewId="0">
      <selection activeCell="A2" sqref="A2:XFD2"/>
    </sheetView>
  </sheetViews>
  <sheetFormatPr defaultRowHeight="12.75"/>
  <cols>
    <col min="1" max="1" width="20.625" style="14" customWidth="1"/>
    <col min="2" max="2" width="11.5" style="14" bestFit="1" customWidth="1"/>
    <col min="3" max="3" width="12.75" style="14" bestFit="1" customWidth="1"/>
    <col min="4" max="4" width="18.75" style="14" bestFit="1" customWidth="1"/>
    <col min="5" max="5" width="13.125" style="14" customWidth="1"/>
    <col min="6" max="6" width="15" style="14" customWidth="1"/>
    <col min="7" max="7" width="15.5" style="14" customWidth="1"/>
    <col min="8" max="8" width="21" style="14" customWidth="1"/>
    <col min="9" max="16384" width="9" style="14"/>
  </cols>
  <sheetData>
    <row r="1" spans="1:13" ht="14.25">
      <c r="F1" s="12"/>
      <c r="L1" s="10"/>
    </row>
    <row r="2" spans="1:13" s="6" customFormat="1" ht="33.75" customHeight="1">
      <c r="A2" s="178" t="s">
        <v>158</v>
      </c>
      <c r="B2" s="178"/>
      <c r="C2" s="178"/>
      <c r="D2" s="178"/>
      <c r="E2" s="178"/>
      <c r="F2" s="178"/>
      <c r="G2" s="178"/>
      <c r="H2" s="178"/>
      <c r="M2" s="7"/>
    </row>
    <row r="3" spans="1:13" s="12" customFormat="1" ht="14.25">
      <c r="A3" s="13"/>
      <c r="D3" s="28"/>
      <c r="E3" s="28"/>
      <c r="H3" s="28"/>
    </row>
    <row r="5" spans="1:13" ht="28.5" customHeight="1">
      <c r="A5" s="96" t="s">
        <v>159</v>
      </c>
    </row>
    <row r="6" spans="1:13" ht="14.25">
      <c r="A6" s="175" t="s">
        <v>160</v>
      </c>
      <c r="B6" s="175"/>
      <c r="C6" s="175"/>
      <c r="D6" s="175"/>
      <c r="E6" s="175"/>
      <c r="F6" s="175"/>
      <c r="G6" s="175"/>
      <c r="H6" s="175"/>
    </row>
    <row r="7" spans="1:13" ht="99.75" customHeight="1">
      <c r="A7" s="175" t="s">
        <v>161</v>
      </c>
      <c r="B7" s="175"/>
      <c r="C7" s="175"/>
      <c r="D7" s="175"/>
      <c r="E7" s="175"/>
      <c r="F7" s="175"/>
      <c r="G7" s="175"/>
      <c r="H7" s="175"/>
    </row>
    <row r="9" spans="1:13" ht="16.5">
      <c r="A9" s="177" t="s">
        <v>162</v>
      </c>
      <c r="B9" s="177"/>
      <c r="C9" s="177"/>
      <c r="D9" s="177"/>
      <c r="E9" s="177"/>
      <c r="F9" s="177"/>
      <c r="G9" s="177"/>
      <c r="H9" s="177"/>
    </row>
    <row r="11" spans="1:13" ht="15">
      <c r="A11" s="98" t="s">
        <v>84</v>
      </c>
      <c r="B11" s="98"/>
      <c r="C11" s="98"/>
      <c r="D11" s="98"/>
      <c r="E11" s="98"/>
      <c r="F11" s="98"/>
      <c r="G11" s="98"/>
      <c r="H11" s="98"/>
    </row>
    <row r="12" spans="1:13" ht="91.5" customHeight="1">
      <c r="A12" s="175" t="s">
        <v>163</v>
      </c>
      <c r="B12" s="176"/>
      <c r="C12" s="176"/>
      <c r="D12" s="176"/>
      <c r="E12" s="176"/>
      <c r="F12" s="176"/>
      <c r="G12" s="176"/>
      <c r="H12" s="176"/>
    </row>
    <row r="13" spans="1:13">
      <c r="A13" s="15"/>
      <c r="B13" s="16"/>
      <c r="C13" s="16"/>
      <c r="D13" s="16"/>
      <c r="E13" s="16"/>
      <c r="F13" s="16"/>
      <c r="G13" s="16"/>
      <c r="H13" s="16"/>
    </row>
    <row r="14" spans="1:13" ht="15">
      <c r="A14" s="98" t="s">
        <v>85</v>
      </c>
      <c r="B14" s="98"/>
      <c r="C14" s="98"/>
      <c r="D14" s="98"/>
      <c r="E14" s="98"/>
      <c r="F14" s="98"/>
      <c r="G14" s="98"/>
      <c r="H14" s="98"/>
    </row>
    <row r="15" spans="1:13" ht="125.25" customHeight="1">
      <c r="A15" s="175" t="s">
        <v>164</v>
      </c>
      <c r="B15" s="176"/>
      <c r="C15" s="176"/>
      <c r="D15" s="176"/>
      <c r="E15" s="176"/>
      <c r="F15" s="176"/>
      <c r="G15" s="176"/>
      <c r="H15" s="176"/>
    </row>
    <row r="16" spans="1:13">
      <c r="A16" s="15"/>
      <c r="B16" s="16"/>
      <c r="C16" s="16"/>
      <c r="D16" s="16"/>
      <c r="E16" s="16"/>
      <c r="F16" s="16"/>
      <c r="G16" s="16"/>
      <c r="H16" s="16"/>
    </row>
    <row r="18" spans="1:13" ht="15">
      <c r="A18" s="98" t="s">
        <v>88</v>
      </c>
      <c r="B18" s="98"/>
      <c r="C18" s="98"/>
      <c r="D18" s="98"/>
      <c r="E18" s="98"/>
      <c r="F18" s="98"/>
      <c r="G18" s="98"/>
      <c r="H18" s="98"/>
    </row>
    <row r="19" spans="1:13" ht="95.25" customHeight="1">
      <c r="A19" s="175" t="s">
        <v>165</v>
      </c>
      <c r="B19" s="175"/>
      <c r="C19" s="175"/>
      <c r="D19" s="175"/>
      <c r="E19" s="175"/>
      <c r="F19" s="175"/>
      <c r="G19" s="175"/>
      <c r="H19" s="175"/>
      <c r="I19" s="17"/>
      <c r="J19" s="17"/>
      <c r="K19" s="17"/>
      <c r="L19" s="17"/>
      <c r="M19" s="17"/>
    </row>
    <row r="21" spans="1:13" ht="15">
      <c r="A21" s="98" t="s">
        <v>95</v>
      </c>
      <c r="B21" s="98"/>
      <c r="C21" s="98"/>
      <c r="D21" s="98"/>
      <c r="E21" s="98"/>
      <c r="F21" s="98"/>
      <c r="G21" s="98"/>
      <c r="H21" s="98"/>
    </row>
    <row r="22" spans="1:13" ht="54" customHeight="1">
      <c r="A22" s="179" t="s">
        <v>166</v>
      </c>
      <c r="B22" s="179"/>
      <c r="C22" s="179"/>
      <c r="D22" s="179"/>
      <c r="E22" s="179"/>
      <c r="F22" s="179"/>
      <c r="G22" s="179"/>
      <c r="H22" s="179"/>
      <c r="I22" s="18"/>
      <c r="J22" s="18"/>
      <c r="K22" s="18"/>
      <c r="L22" s="18"/>
      <c r="M22" s="18"/>
    </row>
    <row r="24" spans="1:13" ht="15">
      <c r="A24" s="98" t="s">
        <v>103</v>
      </c>
      <c r="B24" s="98"/>
      <c r="C24" s="98"/>
      <c r="D24" s="98"/>
      <c r="E24" s="98"/>
      <c r="F24" s="98"/>
      <c r="G24" s="98"/>
      <c r="H24" s="98"/>
    </row>
    <row r="25" spans="1:13" ht="79.5" customHeight="1">
      <c r="A25" s="180" t="s">
        <v>167</v>
      </c>
      <c r="B25" s="181"/>
      <c r="C25" s="181"/>
      <c r="D25" s="181"/>
      <c r="E25" s="181"/>
      <c r="F25" s="181"/>
      <c r="G25" s="181"/>
      <c r="H25" s="181"/>
    </row>
    <row r="27" spans="1:13" ht="21" customHeight="1">
      <c r="A27" s="98" t="s">
        <v>168</v>
      </c>
      <c r="B27" s="98"/>
      <c r="C27" s="98"/>
      <c r="D27" s="98"/>
      <c r="E27" s="98"/>
      <c r="F27" s="98"/>
      <c r="G27" s="98"/>
      <c r="H27" s="98"/>
    </row>
    <row r="28" spans="1:13" ht="66" customHeight="1">
      <c r="A28" s="175" t="s">
        <v>454</v>
      </c>
      <c r="B28" s="176"/>
      <c r="C28" s="176"/>
      <c r="D28" s="176"/>
      <c r="E28" s="176"/>
      <c r="F28" s="176"/>
      <c r="G28" s="176"/>
      <c r="H28" s="176"/>
    </row>
    <row r="29" spans="1:13" ht="15">
      <c r="A29" s="98" t="s">
        <v>169</v>
      </c>
      <c r="B29" s="98"/>
      <c r="C29" s="98"/>
      <c r="D29" s="98"/>
      <c r="E29" s="98"/>
      <c r="F29" s="98"/>
      <c r="G29" s="98"/>
      <c r="H29" s="98"/>
    </row>
    <row r="30" spans="1:13" ht="28.5" customHeight="1">
      <c r="A30" s="175" t="s">
        <v>455</v>
      </c>
      <c r="B30" s="176"/>
      <c r="C30" s="176"/>
      <c r="D30" s="176"/>
      <c r="E30" s="176"/>
      <c r="F30" s="176"/>
      <c r="G30" s="176"/>
      <c r="H30" s="176"/>
    </row>
    <row r="32" spans="1:13" ht="23.25" customHeight="1">
      <c r="A32" s="182" t="s">
        <v>111</v>
      </c>
      <c r="B32" s="182"/>
      <c r="C32" s="182"/>
      <c r="D32" s="182"/>
      <c r="E32" s="182"/>
      <c r="F32" s="182"/>
      <c r="G32" s="182"/>
      <c r="H32" s="182"/>
    </row>
    <row r="34" spans="1:12" ht="15">
      <c r="A34" s="99" t="s">
        <v>112</v>
      </c>
      <c r="B34" s="99"/>
      <c r="C34" s="99"/>
      <c r="D34" s="99"/>
      <c r="E34" s="99"/>
      <c r="F34" s="99"/>
      <c r="G34" s="99"/>
      <c r="H34" s="99"/>
    </row>
    <row r="35" spans="1:12" ht="14.25">
      <c r="A35" s="175" t="s">
        <v>170</v>
      </c>
      <c r="B35" s="176"/>
      <c r="C35" s="176"/>
      <c r="D35" s="176"/>
      <c r="E35" s="176"/>
      <c r="F35" s="176"/>
      <c r="G35" s="176"/>
      <c r="H35" s="176"/>
    </row>
    <row r="36" spans="1:12">
      <c r="A36" s="15"/>
      <c r="B36" s="16"/>
      <c r="C36" s="16"/>
      <c r="D36" s="16"/>
      <c r="E36" s="16"/>
      <c r="F36" s="16"/>
      <c r="G36" s="16"/>
      <c r="H36" s="16"/>
    </row>
    <row r="37" spans="1:12" ht="12" customHeight="1">
      <c r="A37" s="15"/>
      <c r="B37" s="16"/>
      <c r="C37" s="16"/>
      <c r="D37" s="16"/>
      <c r="E37" s="16"/>
      <c r="F37" s="16"/>
      <c r="G37" s="16"/>
      <c r="H37" s="16"/>
    </row>
    <row r="39" spans="1:12" ht="15">
      <c r="A39" s="99" t="s">
        <v>171</v>
      </c>
      <c r="B39" s="99"/>
      <c r="C39" s="99"/>
      <c r="D39" s="99"/>
      <c r="E39" s="99"/>
      <c r="F39" s="99"/>
      <c r="G39" s="99"/>
      <c r="H39" s="99"/>
    </row>
    <row r="40" spans="1:12" ht="15">
      <c r="A40" s="100" t="s">
        <v>172</v>
      </c>
      <c r="B40" s="12"/>
      <c r="C40" s="101"/>
      <c r="D40" s="101"/>
      <c r="E40" s="101"/>
      <c r="F40" s="101"/>
      <c r="G40" s="101"/>
      <c r="H40" s="101"/>
      <c r="I40" s="19"/>
      <c r="J40" s="19"/>
    </row>
    <row r="41" spans="1:12" ht="14.25">
      <c r="A41" s="175" t="s">
        <v>173</v>
      </c>
      <c r="B41" s="176"/>
      <c r="C41" s="176"/>
      <c r="D41" s="176"/>
      <c r="E41" s="176"/>
      <c r="F41" s="176"/>
      <c r="G41" s="176"/>
      <c r="H41" s="176"/>
      <c r="I41" s="19"/>
      <c r="J41" s="19"/>
    </row>
    <row r="42" spans="1:12">
      <c r="C42" s="183" t="s">
        <v>174</v>
      </c>
      <c r="D42" s="183"/>
      <c r="E42" s="183"/>
      <c r="F42" s="183"/>
    </row>
    <row r="43" spans="1:12" ht="28.5" customHeight="1">
      <c r="C43" s="3" t="s">
        <v>175</v>
      </c>
      <c r="D43" s="3" t="s">
        <v>176</v>
      </c>
      <c r="E43" s="3" t="s">
        <v>177</v>
      </c>
      <c r="F43" s="3" t="s">
        <v>178</v>
      </c>
      <c r="I43" s="20"/>
      <c r="J43" s="20"/>
      <c r="K43" s="19"/>
      <c r="L43" s="19"/>
    </row>
    <row r="44" spans="1:12" ht="15.75" customHeight="1">
      <c r="C44" s="39" t="s">
        <v>146</v>
      </c>
      <c r="D44" s="40">
        <v>1</v>
      </c>
      <c r="E44" s="160">
        <f>COUNTIF('Test report'!$E$48:$E$73,C44)</f>
        <v>11</v>
      </c>
      <c r="F44" s="161">
        <f>D44/(($E$44*$D$44)+($E$45*$D$45)+($E$46*$D$46)+($E$47*$D$47))</f>
        <v>8.2644628099173556E-3</v>
      </c>
      <c r="H44" s="21"/>
      <c r="I44" s="20"/>
      <c r="J44" s="20"/>
      <c r="K44" s="19"/>
      <c r="L44" s="19"/>
    </row>
    <row r="45" spans="1:12" ht="15.75" customHeight="1">
      <c r="C45" s="39" t="s">
        <v>137</v>
      </c>
      <c r="D45" s="40">
        <v>5</v>
      </c>
      <c r="E45" s="160">
        <f>COUNTIF('Test report'!$E$48:$E$73,C45)</f>
        <v>10</v>
      </c>
      <c r="F45" s="161">
        <f>D45/(($E$44*$D$44)+($E$45*$D$45)+($E$46*$D$46)+($E$47*$D$47))</f>
        <v>4.1322314049586778E-2</v>
      </c>
      <c r="I45" s="20"/>
      <c r="J45" s="20"/>
      <c r="K45" s="19"/>
      <c r="L45" s="19"/>
    </row>
    <row r="46" spans="1:12" ht="15.75" customHeight="1">
      <c r="C46" s="39" t="s">
        <v>150</v>
      </c>
      <c r="D46" s="40">
        <v>10</v>
      </c>
      <c r="E46" s="160">
        <f>COUNTIF('Test report'!$E$48:$E$73,C46)</f>
        <v>4</v>
      </c>
      <c r="F46" s="161">
        <f>D46/(($E$44*$D$44)+($E$45*$D$45)+($E$46*$D$46)+($E$47*$D$47))</f>
        <v>8.2644628099173556E-2</v>
      </c>
      <c r="I46" s="22"/>
      <c r="J46" s="22"/>
    </row>
    <row r="47" spans="1:12" ht="15.75" customHeight="1">
      <c r="C47" s="39" t="s">
        <v>143</v>
      </c>
      <c r="D47" s="40">
        <v>20</v>
      </c>
      <c r="E47" s="160">
        <f>COUNTIF('Test report'!$E$48:$E$73,C47)</f>
        <v>1</v>
      </c>
      <c r="F47" s="161">
        <f>D47/(($E$44*$D$44)+($E$45*$D$45)+($E$46*$D$46)+($E$47*$D$47))</f>
        <v>0.16528925619834711</v>
      </c>
    </row>
    <row r="49" spans="1:10" ht="15">
      <c r="A49" s="102" t="s">
        <v>179</v>
      </c>
    </row>
    <row r="50" spans="1:10">
      <c r="H50" s="23"/>
    </row>
    <row r="51" spans="1:10">
      <c r="H51" s="23"/>
    </row>
    <row r="52" spans="1:10" ht="12.75" customHeight="1">
      <c r="C52" s="183" t="s">
        <v>180</v>
      </c>
      <c r="D52" s="183"/>
      <c r="E52" s="183"/>
      <c r="F52" s="183"/>
      <c r="G52" s="183"/>
      <c r="H52" s="23"/>
    </row>
    <row r="53" spans="1:10" ht="25.5">
      <c r="C53" s="3" t="s">
        <v>146</v>
      </c>
      <c r="D53" s="3" t="s">
        <v>137</v>
      </c>
      <c r="E53" s="3" t="s">
        <v>150</v>
      </c>
      <c r="F53" s="3" t="s">
        <v>143</v>
      </c>
      <c r="G53" s="3" t="s">
        <v>181</v>
      </c>
      <c r="H53" s="24"/>
      <c r="I53" s="25"/>
      <c r="J53" s="25"/>
    </row>
    <row r="54" spans="1:10" ht="20.25" customHeight="1">
      <c r="C54" s="162">
        <f>COUNTIFS('Test report'!$E$48:$E$73,C44,'Test report'!$M$48:$M$73,"Yes")</f>
        <v>10</v>
      </c>
      <c r="D54" s="162">
        <f>COUNTIFS('Test report'!$E$48:$E$73,C45,'Test report'!$M$48:$M$73,"Yes")</f>
        <v>7</v>
      </c>
      <c r="E54" s="162">
        <f>COUNTIFS('Test report'!$E$48:$E$73,C46,'Test report'!$M$48:$M$73,"Yes")</f>
        <v>4</v>
      </c>
      <c r="F54" s="162">
        <f>COUNTIFS('Test report'!$E$48:$E$73,C47,'Test report'!$M$48:$M$73,"Yes")</f>
        <v>0</v>
      </c>
      <c r="G54" s="163">
        <f>C54*F44+D54*F45+E54*F46+F54*F47</f>
        <v>0.70247933884297531</v>
      </c>
      <c r="H54" s="26"/>
      <c r="I54" s="26"/>
      <c r="J54" s="26"/>
    </row>
    <row r="55" spans="1:10">
      <c r="H55" s="23"/>
    </row>
    <row r="56" spans="1:10">
      <c r="H56" s="23"/>
    </row>
    <row r="57" spans="1:10" ht="24" customHeight="1">
      <c r="A57" s="177" t="s">
        <v>154</v>
      </c>
      <c r="B57" s="177"/>
      <c r="C57" s="177"/>
      <c r="D57" s="177"/>
      <c r="E57" s="177"/>
      <c r="F57" s="177"/>
      <c r="G57" s="177"/>
      <c r="H57" s="177"/>
    </row>
    <row r="58" spans="1:10" ht="29.25" customHeight="1">
      <c r="A58" s="175" t="s">
        <v>182</v>
      </c>
      <c r="B58" s="175"/>
      <c r="C58" s="175"/>
      <c r="D58" s="175"/>
      <c r="E58" s="175"/>
      <c r="F58" s="175"/>
      <c r="G58" s="175"/>
      <c r="H58" s="175"/>
    </row>
    <row r="59" spans="1:10" ht="48" customHeight="1">
      <c r="A59" s="175" t="s">
        <v>458</v>
      </c>
      <c r="B59" s="175"/>
      <c r="C59" s="175"/>
      <c r="D59" s="175"/>
      <c r="E59" s="175"/>
      <c r="F59" s="175"/>
      <c r="G59" s="175"/>
      <c r="H59" s="175"/>
    </row>
    <row r="60" spans="1:10" ht="45" customHeight="1">
      <c r="A60" s="175" t="s">
        <v>459</v>
      </c>
      <c r="B60" s="175"/>
      <c r="C60" s="175"/>
      <c r="D60" s="175"/>
      <c r="E60" s="175"/>
      <c r="F60" s="175"/>
      <c r="G60" s="175"/>
      <c r="H60" s="175"/>
    </row>
    <row r="61" spans="1:10" ht="40.5" customHeight="1">
      <c r="A61" s="175" t="s">
        <v>460</v>
      </c>
      <c r="B61" s="175"/>
      <c r="C61" s="175"/>
      <c r="D61" s="175"/>
      <c r="E61" s="175"/>
      <c r="F61" s="175"/>
      <c r="G61" s="175"/>
      <c r="H61" s="175"/>
    </row>
    <row r="62" spans="1:10" ht="20.25" customHeight="1">
      <c r="A62" s="175" t="s">
        <v>183</v>
      </c>
      <c r="B62" s="175"/>
      <c r="C62" s="175"/>
      <c r="D62" s="175"/>
      <c r="E62" s="175"/>
      <c r="F62" s="175"/>
      <c r="G62" s="175"/>
      <c r="H62" s="175"/>
    </row>
  </sheetData>
  <mergeCells count="22">
    <mergeCell ref="A2:H2"/>
    <mergeCell ref="A15:H15"/>
    <mergeCell ref="A19:H19"/>
    <mergeCell ref="A6:H6"/>
    <mergeCell ref="A58:H58"/>
    <mergeCell ref="A22:H22"/>
    <mergeCell ref="A25:H25"/>
    <mergeCell ref="A28:H28"/>
    <mergeCell ref="A30:H30"/>
    <mergeCell ref="A32:H32"/>
    <mergeCell ref="A35:H35"/>
    <mergeCell ref="A41:H41"/>
    <mergeCell ref="C42:F42"/>
    <mergeCell ref="C52:G52"/>
    <mergeCell ref="A7:H7"/>
    <mergeCell ref="A9:H9"/>
    <mergeCell ref="A12:H12"/>
    <mergeCell ref="A59:H59"/>
    <mergeCell ref="A60:H60"/>
    <mergeCell ref="A61:H61"/>
    <mergeCell ref="A62:H62"/>
    <mergeCell ref="A57:H5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I32"/>
  <sheetViews>
    <sheetView showGridLines="0" workbookViewId="0">
      <selection activeCell="B7" sqref="B7"/>
    </sheetView>
  </sheetViews>
  <sheetFormatPr defaultRowHeight="12"/>
  <cols>
    <col min="1" max="1" width="26.5" style="27" bestFit="1" customWidth="1"/>
    <col min="2" max="2" width="13.25" style="27" bestFit="1" customWidth="1"/>
    <col min="3" max="3" width="32" style="27" bestFit="1" customWidth="1"/>
    <col min="4" max="4" width="10.5" style="27" bestFit="1" customWidth="1"/>
    <col min="5" max="5" width="9.25" style="27" customWidth="1"/>
    <col min="6" max="6" width="7.25" style="27" customWidth="1"/>
    <col min="7" max="7" width="10.5" style="27" bestFit="1" customWidth="1"/>
    <col min="8" max="10" width="20.125" style="27" hidden="1" customWidth="1"/>
    <col min="11" max="14" width="14" style="27" hidden="1" customWidth="1"/>
    <col min="15" max="15" width="16" style="27" bestFit="1" customWidth="1"/>
    <col min="16" max="16" width="12.375" style="27" bestFit="1" customWidth="1"/>
    <col min="17" max="17" width="12.75" style="27" bestFit="1" customWidth="1"/>
    <col min="18" max="18" width="9.125" style="27" bestFit="1" customWidth="1"/>
    <col min="19" max="19" width="5.875" style="27" hidden="1" customWidth="1"/>
    <col min="20" max="20" width="9.125" style="27" hidden="1" customWidth="1"/>
    <col min="21" max="21" width="32" style="27" hidden="1" customWidth="1"/>
    <col min="22" max="22" width="16.25" style="27" hidden="1" customWidth="1"/>
    <col min="23" max="23" width="18.75" style="27" hidden="1" customWidth="1"/>
    <col min="24" max="24" width="11" style="27" hidden="1" customWidth="1"/>
    <col min="25" max="25" width="10.5" style="27" hidden="1" customWidth="1"/>
    <col min="26" max="26" width="31.125" style="27" hidden="1" customWidth="1"/>
    <col min="27" max="27" width="15.375" style="27" hidden="1" customWidth="1"/>
    <col min="28" max="28" width="26.375" style="27" bestFit="1" customWidth="1"/>
    <col min="29" max="29" width="79.5" style="27" hidden="1" customWidth="1"/>
    <col min="30" max="30" width="13.75" style="27" bestFit="1" customWidth="1"/>
    <col min="31" max="31" width="9" style="27" hidden="1" customWidth="1"/>
    <col min="32" max="32" width="10.625" style="27" hidden="1" customWidth="1"/>
    <col min="33" max="33" width="12.75" style="27" hidden="1" customWidth="1"/>
    <col min="34" max="34" width="20.375" style="27" hidden="1" customWidth="1"/>
    <col min="35" max="35" width="17.875" style="27" hidden="1" customWidth="1"/>
    <col min="36" max="36" width="11.625" style="27" bestFit="1" customWidth="1"/>
    <col min="37" max="37" width="10.25" style="27" hidden="1" customWidth="1"/>
    <col min="38" max="38" width="10" style="27" hidden="1" customWidth="1"/>
    <col min="39" max="39" width="22.875" style="27" hidden="1" customWidth="1"/>
    <col min="40" max="40" width="20.375" style="27" hidden="1" customWidth="1"/>
    <col min="41" max="41" width="9" style="27" hidden="1" customWidth="1"/>
    <col min="42" max="42" width="12.625" style="27" hidden="1" customWidth="1"/>
    <col min="43" max="43" width="18.25" style="27" hidden="1" customWidth="1"/>
    <col min="44" max="44" width="25.125" style="27" hidden="1" customWidth="1"/>
    <col min="45" max="45" width="11.5" style="27" hidden="1" customWidth="1"/>
    <col min="46" max="46" width="13.375" style="27" hidden="1" customWidth="1"/>
    <col min="47" max="47" width="12.75" style="27" hidden="1" customWidth="1"/>
    <col min="48" max="48" width="12.25" style="27" hidden="1" customWidth="1"/>
    <col min="49" max="49" width="27.5" style="27" hidden="1" customWidth="1"/>
    <col min="50" max="50" width="14.875" style="27" hidden="1" customWidth="1"/>
    <col min="51" max="51" width="16.625" style="27" hidden="1" customWidth="1"/>
    <col min="52" max="52" width="21.375" style="27" hidden="1" customWidth="1"/>
    <col min="53" max="53" width="18.25" style="27" hidden="1" customWidth="1"/>
    <col min="54" max="54" width="10.875" style="27" customWidth="1"/>
    <col min="55" max="55" width="15.375" style="27" hidden="1" customWidth="1"/>
    <col min="56" max="56" width="15.375" style="27" customWidth="1"/>
    <col min="57" max="57" width="14.375" style="27" customWidth="1"/>
    <col min="58" max="58" width="12.375" style="27" bestFit="1" customWidth="1"/>
    <col min="59" max="59" width="10.625" style="27" hidden="1" customWidth="1"/>
    <col min="60" max="60" width="26.875" style="27" hidden="1" customWidth="1"/>
    <col min="61" max="61" width="32" style="27" hidden="1" customWidth="1"/>
    <col min="62" max="62" width="14.875" style="27" hidden="1" customWidth="1"/>
    <col min="63" max="63" width="15.625" style="27" hidden="1" customWidth="1"/>
    <col min="64" max="64" width="14" style="27" hidden="1" customWidth="1"/>
    <col min="65" max="65" width="14.5" style="27" hidden="1" customWidth="1"/>
    <col min="66" max="66" width="27.625" style="27" hidden="1" customWidth="1"/>
    <col min="67" max="67" width="26.625" style="27" hidden="1" customWidth="1"/>
    <col min="68" max="68" width="32" style="27" hidden="1" customWidth="1"/>
    <col min="69" max="69" width="9.75" style="27" hidden="1" customWidth="1"/>
    <col min="70" max="70" width="9.125" style="27" hidden="1" customWidth="1"/>
    <col min="71" max="71" width="12.75" style="27" hidden="1" customWidth="1"/>
    <col min="72" max="72" width="17" style="27" hidden="1" customWidth="1"/>
    <col min="73" max="73" width="27.625" style="27" hidden="1" customWidth="1"/>
    <col min="74" max="74" width="0" style="27" hidden="1" customWidth="1"/>
    <col min="75" max="75" width="27.125" style="27" hidden="1" customWidth="1"/>
    <col min="76" max="76" width="11.5" style="27" hidden="1" customWidth="1"/>
    <col min="77" max="77" width="10" style="27" hidden="1" customWidth="1"/>
    <col min="78" max="78" width="26.5" style="27" hidden="1" customWidth="1"/>
    <col min="79" max="79" width="11.75" style="27" hidden="1" customWidth="1"/>
    <col min="80" max="80" width="5.875" style="27" hidden="1" customWidth="1"/>
    <col min="81" max="81" width="7.375" style="27" hidden="1" customWidth="1"/>
    <col min="82" max="82" width="10.75" style="27" hidden="1" customWidth="1"/>
    <col min="83" max="83" width="10.25" style="27" hidden="1" customWidth="1"/>
    <col min="84" max="84" width="11" style="27" hidden="1" customWidth="1"/>
    <col min="85" max="85" width="11.5" style="27" customWidth="1"/>
    <col min="86" max="86" width="14.375" style="27" customWidth="1"/>
    <col min="87" max="87" width="15.375" style="27" customWidth="1"/>
    <col min="88" max="16384" width="9" style="27"/>
  </cols>
  <sheetData>
    <row r="1" spans="1:87" ht="22.5" customHeight="1">
      <c r="A1" s="184"/>
      <c r="B1" s="185"/>
      <c r="C1" s="185"/>
      <c r="D1" s="185"/>
      <c r="E1" s="185"/>
      <c r="F1" s="185"/>
      <c r="G1" s="185"/>
      <c r="H1" s="185"/>
      <c r="I1" s="185"/>
      <c r="J1" s="185"/>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6"/>
    </row>
    <row r="2" spans="1:87" ht="15" customHeight="1">
      <c r="A2" s="187" t="s">
        <v>184</v>
      </c>
      <c r="B2" s="188"/>
      <c r="C2" s="188"/>
      <c r="D2" s="188"/>
      <c r="E2" s="188"/>
      <c r="F2" s="188"/>
      <c r="G2" s="188"/>
      <c r="H2" s="188"/>
      <c r="I2" s="188"/>
      <c r="J2" s="188"/>
      <c r="K2" s="188"/>
      <c r="L2" s="188"/>
      <c r="M2" s="188"/>
      <c r="N2" s="188"/>
      <c r="O2" s="188"/>
      <c r="P2" s="188"/>
      <c r="Q2" s="188"/>
      <c r="R2" s="188"/>
      <c r="S2" s="188"/>
      <c r="T2" s="188"/>
      <c r="U2" s="188"/>
      <c r="V2" s="188"/>
      <c r="W2" s="188"/>
      <c r="X2" s="188"/>
      <c r="Y2" s="188"/>
      <c r="Z2" s="188"/>
      <c r="AA2" s="188"/>
      <c r="AB2" s="188"/>
      <c r="AC2" s="188"/>
      <c r="AD2" s="188"/>
      <c r="AE2" s="188"/>
      <c r="AF2" s="188"/>
      <c r="AG2" s="188"/>
      <c r="AH2" s="188"/>
      <c r="AI2" s="188"/>
      <c r="AJ2" s="188"/>
      <c r="AK2" s="188"/>
      <c r="AL2" s="188"/>
      <c r="AM2" s="188"/>
      <c r="AN2" s="188"/>
      <c r="AO2" s="188"/>
      <c r="AP2" s="188"/>
      <c r="AQ2" s="188"/>
      <c r="AR2" s="188"/>
      <c r="AS2" s="188"/>
      <c r="AT2" s="188"/>
      <c r="AU2" s="188"/>
      <c r="AV2" s="188"/>
      <c r="AW2" s="188"/>
      <c r="AX2" s="188"/>
      <c r="AY2" s="188"/>
      <c r="AZ2" s="188"/>
      <c r="BA2" s="188"/>
      <c r="BB2" s="188"/>
      <c r="BC2" s="188"/>
      <c r="BD2" s="188"/>
      <c r="BE2" s="188"/>
      <c r="BF2" s="188"/>
      <c r="BG2" s="188"/>
      <c r="BH2" s="188"/>
      <c r="BI2" s="188"/>
      <c r="BJ2" s="188"/>
      <c r="BK2" s="188"/>
      <c r="BL2" s="188"/>
      <c r="BM2" s="188"/>
      <c r="BN2" s="188"/>
      <c r="BO2" s="188"/>
      <c r="BP2" s="188"/>
      <c r="BQ2" s="188"/>
      <c r="BR2" s="188"/>
      <c r="BS2" s="188"/>
      <c r="BT2" s="188"/>
      <c r="BU2" s="188"/>
      <c r="BV2" s="188"/>
      <c r="BW2" s="188"/>
      <c r="BX2" s="188"/>
      <c r="BY2" s="188"/>
      <c r="BZ2" s="188"/>
      <c r="CA2" s="188"/>
      <c r="CB2" s="188"/>
      <c r="CC2" s="188"/>
      <c r="CD2" s="188"/>
      <c r="CE2" s="188"/>
      <c r="CF2" s="189"/>
    </row>
    <row r="3" spans="1:87" ht="15" customHeight="1">
      <c r="A3" s="190" t="s">
        <v>185</v>
      </c>
      <c r="B3" s="190"/>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190"/>
      <c r="AC3" s="190"/>
      <c r="AD3" s="190"/>
      <c r="AE3" s="190"/>
      <c r="AF3" s="190"/>
      <c r="AG3" s="190"/>
      <c r="AH3" s="190"/>
      <c r="AI3" s="190"/>
      <c r="AJ3" s="190"/>
      <c r="AK3" s="190"/>
      <c r="AL3" s="190"/>
      <c r="AM3" s="190"/>
      <c r="AN3" s="190"/>
      <c r="AO3" s="190"/>
      <c r="AP3" s="190"/>
      <c r="AQ3" s="190"/>
      <c r="AR3" s="190"/>
      <c r="AS3" s="190"/>
      <c r="AT3" s="190"/>
      <c r="AU3" s="190"/>
      <c r="AV3" s="190"/>
      <c r="AW3" s="190"/>
      <c r="AX3" s="190"/>
      <c r="AY3" s="190"/>
      <c r="AZ3" s="190"/>
      <c r="BA3" s="190"/>
      <c r="BB3" s="190"/>
      <c r="BC3" s="190"/>
      <c r="BD3" s="190"/>
      <c r="BE3" s="190"/>
      <c r="BF3" s="190"/>
      <c r="BG3" s="190"/>
      <c r="BH3" s="190"/>
      <c r="BI3" s="190"/>
      <c r="BJ3" s="190"/>
      <c r="BK3" s="190"/>
      <c r="BL3" s="190"/>
      <c r="BM3" s="190"/>
      <c r="BN3" s="190"/>
      <c r="BO3" s="190"/>
      <c r="BP3" s="190"/>
      <c r="BQ3" s="190"/>
      <c r="BR3" s="190"/>
      <c r="BS3" s="190"/>
      <c r="BT3" s="190"/>
      <c r="BU3" s="190"/>
      <c r="BV3" s="190"/>
      <c r="BW3" s="190"/>
      <c r="BX3" s="190"/>
      <c r="BY3" s="190"/>
      <c r="BZ3" s="190"/>
      <c r="CA3" s="190"/>
      <c r="CB3" s="190"/>
      <c r="CC3" s="190"/>
      <c r="CD3" s="190"/>
      <c r="CE3" s="190"/>
      <c r="CF3" s="190"/>
      <c r="CG3" s="78"/>
      <c r="CH3" s="78"/>
      <c r="CI3" s="78"/>
    </row>
    <row r="4" spans="1:87" ht="25.5">
      <c r="A4" s="86" t="s">
        <v>186</v>
      </c>
      <c r="B4" s="86" t="s">
        <v>187</v>
      </c>
      <c r="C4" s="86" t="s">
        <v>188</v>
      </c>
      <c r="D4" s="86" t="s">
        <v>189</v>
      </c>
      <c r="E4" s="86" t="s">
        <v>74</v>
      </c>
      <c r="F4" s="86" t="s">
        <v>190</v>
      </c>
      <c r="G4" s="86" t="s">
        <v>191</v>
      </c>
      <c r="H4" s="86" t="s">
        <v>192</v>
      </c>
      <c r="I4" s="86" t="s">
        <v>193</v>
      </c>
      <c r="J4" s="86" t="s">
        <v>86</v>
      </c>
      <c r="K4" s="86" t="s">
        <v>194</v>
      </c>
      <c r="L4" s="86" t="s">
        <v>195</v>
      </c>
      <c r="M4" s="86" t="s">
        <v>196</v>
      </c>
      <c r="N4" s="86" t="s">
        <v>197</v>
      </c>
      <c r="O4" s="86" t="s">
        <v>198</v>
      </c>
      <c r="P4" s="86" t="s">
        <v>199</v>
      </c>
      <c r="Q4" s="87" t="s">
        <v>200</v>
      </c>
      <c r="R4" s="86" t="s">
        <v>201</v>
      </c>
      <c r="S4" s="86" t="s">
        <v>202</v>
      </c>
      <c r="T4" s="86" t="s">
        <v>203</v>
      </c>
      <c r="U4" s="86" t="s">
        <v>204</v>
      </c>
      <c r="V4" s="86" t="s">
        <v>205</v>
      </c>
      <c r="W4" s="86" t="s">
        <v>206</v>
      </c>
      <c r="X4" s="86" t="s">
        <v>207</v>
      </c>
      <c r="Y4" s="86" t="s">
        <v>208</v>
      </c>
      <c r="Z4" s="86" t="s">
        <v>209</v>
      </c>
      <c r="AA4" s="86" t="s">
        <v>210</v>
      </c>
      <c r="AB4" s="86" t="s">
        <v>211</v>
      </c>
      <c r="AC4" s="86" t="s">
        <v>212</v>
      </c>
      <c r="AD4" s="86" t="s">
        <v>213</v>
      </c>
      <c r="AE4" s="86" t="s">
        <v>214</v>
      </c>
      <c r="AF4" s="86" t="s">
        <v>215</v>
      </c>
      <c r="AG4" s="86" t="s">
        <v>216</v>
      </c>
      <c r="AH4" s="86" t="s">
        <v>217</v>
      </c>
      <c r="AI4" s="86" t="s">
        <v>218</v>
      </c>
      <c r="AJ4" s="86" t="s">
        <v>219</v>
      </c>
      <c r="AK4" s="86" t="s">
        <v>220</v>
      </c>
      <c r="AL4" s="86" t="s">
        <v>221</v>
      </c>
      <c r="AM4" s="86" t="s">
        <v>222</v>
      </c>
      <c r="AN4" s="86" t="s">
        <v>223</v>
      </c>
      <c r="AO4" s="86" t="s">
        <v>224</v>
      </c>
      <c r="AP4" s="86" t="s">
        <v>225</v>
      </c>
      <c r="AQ4" s="86" t="s">
        <v>226</v>
      </c>
      <c r="AR4" s="86" t="s">
        <v>227</v>
      </c>
      <c r="AS4" s="86" t="s">
        <v>228</v>
      </c>
      <c r="AT4" s="86" t="s">
        <v>229</v>
      </c>
      <c r="AU4" s="86" t="s">
        <v>230</v>
      </c>
      <c r="AV4" s="86" t="s">
        <v>231</v>
      </c>
      <c r="AW4" s="86" t="s">
        <v>232</v>
      </c>
      <c r="AX4" s="86" t="s">
        <v>233</v>
      </c>
      <c r="AY4" s="86" t="s">
        <v>234</v>
      </c>
      <c r="AZ4" s="86" t="s">
        <v>235</v>
      </c>
      <c r="BA4" s="86" t="s">
        <v>226</v>
      </c>
      <c r="BB4" s="87" t="s">
        <v>236</v>
      </c>
      <c r="BC4" s="87" t="s">
        <v>237</v>
      </c>
      <c r="BD4" s="87" t="s">
        <v>34</v>
      </c>
      <c r="BE4" s="86" t="s">
        <v>238</v>
      </c>
      <c r="BF4" s="86" t="s">
        <v>239</v>
      </c>
      <c r="BG4" s="86" t="s">
        <v>232</v>
      </c>
      <c r="BH4" s="86" t="s">
        <v>240</v>
      </c>
      <c r="BI4" s="86" t="s">
        <v>241</v>
      </c>
      <c r="BJ4" s="86" t="s">
        <v>242</v>
      </c>
      <c r="BK4" s="86" t="s">
        <v>243</v>
      </c>
      <c r="BL4" s="86" t="s">
        <v>244</v>
      </c>
      <c r="BM4" s="86" t="s">
        <v>245</v>
      </c>
      <c r="BN4" s="86" t="s">
        <v>246</v>
      </c>
      <c r="BO4" s="86" t="s">
        <v>247</v>
      </c>
      <c r="BP4" s="86" t="s">
        <v>248</v>
      </c>
      <c r="BQ4" s="86" t="s">
        <v>249</v>
      </c>
      <c r="BR4" s="86" t="s">
        <v>250</v>
      </c>
      <c r="BS4" s="86" t="s">
        <v>216</v>
      </c>
      <c r="BT4" s="86" t="s">
        <v>251</v>
      </c>
      <c r="BU4" s="86" t="s">
        <v>252</v>
      </c>
      <c r="BV4" s="86" t="s">
        <v>253</v>
      </c>
      <c r="BW4" s="86" t="s">
        <v>254</v>
      </c>
      <c r="BX4" s="86" t="s">
        <v>255</v>
      </c>
      <c r="BY4" s="86" t="s">
        <v>256</v>
      </c>
      <c r="BZ4" s="86" t="s">
        <v>257</v>
      </c>
      <c r="CA4" s="86" t="s">
        <v>258</v>
      </c>
      <c r="CB4" s="86" t="s">
        <v>259</v>
      </c>
      <c r="CC4" s="86" t="s">
        <v>260</v>
      </c>
      <c r="CD4" s="86" t="s">
        <v>261</v>
      </c>
      <c r="CE4" s="86" t="s">
        <v>262</v>
      </c>
      <c r="CF4" s="86" t="s">
        <v>207</v>
      </c>
      <c r="CG4" s="94" t="s">
        <v>263</v>
      </c>
      <c r="CH4" s="94" t="s">
        <v>31</v>
      </c>
      <c r="CI4" s="87" t="s">
        <v>193</v>
      </c>
    </row>
    <row r="5" spans="1:87" ht="91.5" customHeight="1">
      <c r="A5" s="88" t="s">
        <v>264</v>
      </c>
      <c r="B5" s="89" t="s">
        <v>265</v>
      </c>
      <c r="C5" s="88" t="s">
        <v>266</v>
      </c>
      <c r="D5" s="90" t="s">
        <v>267</v>
      </c>
      <c r="E5" s="90" t="s">
        <v>77</v>
      </c>
      <c r="F5" s="88" t="s">
        <v>268</v>
      </c>
      <c r="G5" s="88" t="s">
        <v>269</v>
      </c>
      <c r="H5" s="88" t="s">
        <v>270</v>
      </c>
      <c r="I5" s="88" t="s">
        <v>270</v>
      </c>
      <c r="J5" s="88" t="s">
        <v>270</v>
      </c>
      <c r="K5" s="91">
        <v>42604.756249999999</v>
      </c>
      <c r="L5" s="91">
        <v>42608.601388888892</v>
      </c>
      <c r="M5" s="91">
        <v>42608.609027777777</v>
      </c>
      <c r="N5" s="91">
        <v>42606.428472222222</v>
      </c>
      <c r="O5" s="88"/>
      <c r="P5" s="88"/>
      <c r="Q5" s="88" t="s">
        <v>71</v>
      </c>
      <c r="R5" s="88"/>
      <c r="S5" s="88">
        <v>0</v>
      </c>
      <c r="T5" s="88">
        <v>1</v>
      </c>
      <c r="U5" s="92" t="s">
        <v>271</v>
      </c>
      <c r="V5" s="88"/>
      <c r="W5" s="88"/>
      <c r="X5" s="88"/>
      <c r="Y5" s="88"/>
      <c r="Z5" s="88"/>
      <c r="AA5" s="88"/>
      <c r="AB5" s="88"/>
      <c r="AC5" s="88" t="s">
        <v>272</v>
      </c>
      <c r="AD5" s="88"/>
      <c r="AE5" s="88"/>
      <c r="AF5" s="88"/>
      <c r="AG5" s="88"/>
      <c r="AH5" s="88"/>
      <c r="AI5" s="88"/>
      <c r="AJ5" s="88" t="s">
        <v>273</v>
      </c>
      <c r="AK5" s="88"/>
      <c r="AL5" s="88"/>
      <c r="AM5" s="88"/>
      <c r="AN5" s="88"/>
      <c r="AO5" s="88"/>
      <c r="AP5" s="88"/>
      <c r="AQ5" s="88"/>
      <c r="AR5" s="88"/>
      <c r="AS5" s="88"/>
      <c r="AT5" s="88"/>
      <c r="AU5" s="88"/>
      <c r="AV5" s="88"/>
      <c r="AW5" s="92" t="s">
        <v>274</v>
      </c>
      <c r="AX5" s="88"/>
      <c r="AY5" s="88"/>
      <c r="AZ5" s="88"/>
      <c r="BA5" s="88"/>
      <c r="BB5" s="88"/>
      <c r="BC5" s="88"/>
      <c r="BD5" s="88" t="s">
        <v>275</v>
      </c>
      <c r="BE5" s="88"/>
      <c r="BF5" s="95">
        <v>1.99</v>
      </c>
      <c r="BG5" s="88"/>
      <c r="BH5" s="88"/>
      <c r="BI5" s="88"/>
      <c r="BJ5" s="88"/>
      <c r="BK5" s="88"/>
      <c r="BL5" s="88"/>
      <c r="BM5" s="88"/>
      <c r="BN5" s="88" t="s">
        <v>274</v>
      </c>
      <c r="BO5" s="88"/>
      <c r="BP5" s="92" t="s">
        <v>276</v>
      </c>
      <c r="BQ5" s="88" t="s">
        <v>277</v>
      </c>
      <c r="BR5" s="92" t="s">
        <v>278</v>
      </c>
      <c r="BS5" s="88"/>
      <c r="BT5" s="88"/>
      <c r="BU5" s="88"/>
      <c r="BV5" s="88"/>
      <c r="BW5" s="88"/>
      <c r="BX5" s="88"/>
      <c r="BY5" s="88"/>
      <c r="BZ5" s="88"/>
      <c r="CA5" s="88"/>
      <c r="CB5" s="88">
        <v>84531</v>
      </c>
      <c r="CC5" s="88"/>
      <c r="CD5" s="88"/>
      <c r="CE5" s="88"/>
      <c r="CF5" s="88"/>
      <c r="CG5" s="88" t="s">
        <v>36</v>
      </c>
      <c r="CH5" s="88" t="s">
        <v>37</v>
      </c>
      <c r="CI5" s="88" t="s">
        <v>38</v>
      </c>
    </row>
    <row r="6" spans="1:87" ht="91.5" customHeight="1">
      <c r="A6" s="88" t="s">
        <v>264</v>
      </c>
      <c r="B6" s="89" t="s">
        <v>279</v>
      </c>
      <c r="C6" s="88" t="s">
        <v>280</v>
      </c>
      <c r="D6" s="90" t="s">
        <v>267</v>
      </c>
      <c r="E6" s="90" t="s">
        <v>77</v>
      </c>
      <c r="F6" s="88" t="s">
        <v>137</v>
      </c>
      <c r="G6" s="88" t="s">
        <v>269</v>
      </c>
      <c r="H6" s="88" t="s">
        <v>270</v>
      </c>
      <c r="I6" s="88" t="s">
        <v>270</v>
      </c>
      <c r="J6" s="88" t="s">
        <v>270</v>
      </c>
      <c r="K6" s="91">
        <v>42594.426388888889</v>
      </c>
      <c r="L6" s="91">
        <v>42608.405555555553</v>
      </c>
      <c r="M6" s="91">
        <v>42607.727777777778</v>
      </c>
      <c r="N6" s="91">
        <v>42605.484722222223</v>
      </c>
      <c r="O6" s="88"/>
      <c r="P6" s="88"/>
      <c r="Q6" s="88" t="s">
        <v>39</v>
      </c>
      <c r="R6" s="88"/>
      <c r="S6" s="88">
        <v>0</v>
      </c>
      <c r="T6" s="88">
        <v>1</v>
      </c>
      <c r="U6" s="92" t="s">
        <v>281</v>
      </c>
      <c r="V6" s="88"/>
      <c r="W6" s="88"/>
      <c r="X6" s="88"/>
      <c r="Y6" s="88"/>
      <c r="Z6" s="88"/>
      <c r="AA6" s="88"/>
      <c r="AB6" s="88"/>
      <c r="AC6" s="88" t="s">
        <v>282</v>
      </c>
      <c r="AD6" s="88"/>
      <c r="AE6" s="88"/>
      <c r="AF6" s="88"/>
      <c r="AG6" s="88"/>
      <c r="AH6" s="88"/>
      <c r="AI6" s="88"/>
      <c r="AJ6" s="88" t="s">
        <v>283</v>
      </c>
      <c r="AK6" s="88"/>
      <c r="AL6" s="88"/>
      <c r="AM6" s="88"/>
      <c r="AN6" s="88"/>
      <c r="AO6" s="88"/>
      <c r="AP6" s="88"/>
      <c r="AQ6" s="88"/>
      <c r="AR6" s="88"/>
      <c r="AS6" s="88"/>
      <c r="AT6" s="88"/>
      <c r="AU6" s="88"/>
      <c r="AV6" s="88"/>
      <c r="AW6" s="92" t="s">
        <v>274</v>
      </c>
      <c r="AX6" s="88"/>
      <c r="AY6" s="88"/>
      <c r="AZ6" s="88"/>
      <c r="BA6" s="88"/>
      <c r="BB6" s="88"/>
      <c r="BC6" s="88"/>
      <c r="BD6" s="88" t="s">
        <v>284</v>
      </c>
      <c r="BE6" s="88"/>
      <c r="BF6" s="95">
        <v>1.94</v>
      </c>
      <c r="BG6" s="88"/>
      <c r="BH6" s="88"/>
      <c r="BI6" s="88"/>
      <c r="BJ6" s="88"/>
      <c r="BK6" s="88"/>
      <c r="BL6" s="88"/>
      <c r="BM6" s="88"/>
      <c r="BN6" s="88" t="s">
        <v>274</v>
      </c>
      <c r="BO6" s="88"/>
      <c r="BP6" s="92" t="s">
        <v>276</v>
      </c>
      <c r="BQ6" s="88" t="s">
        <v>277</v>
      </c>
      <c r="BR6" s="92" t="s">
        <v>278</v>
      </c>
      <c r="BS6" s="88"/>
      <c r="BT6" s="88"/>
      <c r="BU6" s="88"/>
      <c r="BV6" s="88"/>
      <c r="BW6" s="88"/>
      <c r="BX6" s="88"/>
      <c r="BY6" s="88"/>
      <c r="BZ6" s="88"/>
      <c r="CA6" s="88"/>
      <c r="CB6" s="88">
        <v>83962</v>
      </c>
      <c r="CC6" s="88"/>
      <c r="CD6" s="88"/>
      <c r="CE6" s="88"/>
      <c r="CF6" s="88"/>
      <c r="CG6" s="88" t="s">
        <v>65</v>
      </c>
      <c r="CH6" s="88" t="s">
        <v>37</v>
      </c>
      <c r="CI6" s="88" t="s">
        <v>43</v>
      </c>
    </row>
    <row r="7" spans="1:87" ht="91.5" customHeight="1">
      <c r="A7" s="88" t="s">
        <v>264</v>
      </c>
      <c r="B7" s="89" t="s">
        <v>285</v>
      </c>
      <c r="C7" s="88" t="s">
        <v>286</v>
      </c>
      <c r="D7" s="90" t="s">
        <v>267</v>
      </c>
      <c r="E7" s="90" t="s">
        <v>77</v>
      </c>
      <c r="F7" s="88" t="s">
        <v>268</v>
      </c>
      <c r="G7" s="88" t="s">
        <v>269</v>
      </c>
      <c r="H7" s="88" t="s">
        <v>270</v>
      </c>
      <c r="I7" s="88" t="s">
        <v>270</v>
      </c>
      <c r="J7" s="88" t="s">
        <v>270</v>
      </c>
      <c r="K7" s="91">
        <v>42591.552083333336</v>
      </c>
      <c r="L7" s="91">
        <v>42593.746527777781</v>
      </c>
      <c r="M7" s="91">
        <v>42592.748611111114</v>
      </c>
      <c r="N7" s="91">
        <v>42592.504166666666</v>
      </c>
      <c r="O7" s="88"/>
      <c r="P7" s="88"/>
      <c r="Q7" s="88" t="s">
        <v>62</v>
      </c>
      <c r="R7" s="88"/>
      <c r="S7" s="88">
        <v>0</v>
      </c>
      <c r="T7" s="88">
        <v>1</v>
      </c>
      <c r="U7" s="92" t="s">
        <v>287</v>
      </c>
      <c r="V7" s="88"/>
      <c r="W7" s="88"/>
      <c r="X7" s="88"/>
      <c r="Y7" s="88"/>
      <c r="Z7" s="88"/>
      <c r="AA7" s="88"/>
      <c r="AB7" s="88" t="s">
        <v>288</v>
      </c>
      <c r="AC7" s="88" t="s">
        <v>289</v>
      </c>
      <c r="AD7" s="88"/>
      <c r="AE7" s="88"/>
      <c r="AF7" s="88"/>
      <c r="AG7" s="88"/>
      <c r="AH7" s="88"/>
      <c r="AI7" s="88"/>
      <c r="AJ7" s="88" t="s">
        <v>290</v>
      </c>
      <c r="AK7" s="88"/>
      <c r="AL7" s="88"/>
      <c r="AM7" s="88"/>
      <c r="AN7" s="88"/>
      <c r="AO7" s="88"/>
      <c r="AP7" s="88"/>
      <c r="AQ7" s="88"/>
      <c r="AR7" s="88"/>
      <c r="AS7" s="88"/>
      <c r="AT7" s="88"/>
      <c r="AU7" s="88"/>
      <c r="AV7" s="88"/>
      <c r="AW7" s="92" t="s">
        <v>274</v>
      </c>
      <c r="AX7" s="88"/>
      <c r="AY7" s="88"/>
      <c r="AZ7" s="88"/>
      <c r="BA7" s="88"/>
      <c r="BB7" s="88"/>
      <c r="BC7" s="88"/>
      <c r="BD7" s="88" t="s">
        <v>45</v>
      </c>
      <c r="BE7" s="88"/>
      <c r="BF7" s="95">
        <v>1.88</v>
      </c>
      <c r="BG7" s="88"/>
      <c r="BH7" s="88"/>
      <c r="BI7" s="88"/>
      <c r="BJ7" s="88"/>
      <c r="BK7" s="88"/>
      <c r="BL7" s="88"/>
      <c r="BM7" s="88"/>
      <c r="BN7" s="88" t="s">
        <v>274</v>
      </c>
      <c r="BO7" s="88"/>
      <c r="BP7" s="92" t="s">
        <v>276</v>
      </c>
      <c r="BQ7" s="88" t="s">
        <v>291</v>
      </c>
      <c r="BR7" s="88"/>
      <c r="BS7" s="88"/>
      <c r="BT7" s="88"/>
      <c r="BU7" s="88"/>
      <c r="BV7" s="88"/>
      <c r="BW7" s="88"/>
      <c r="BX7" s="88"/>
      <c r="BY7" s="88"/>
      <c r="BZ7" s="88"/>
      <c r="CA7" s="88"/>
      <c r="CB7" s="88">
        <v>83358</v>
      </c>
      <c r="CC7" s="88"/>
      <c r="CD7" s="88"/>
      <c r="CE7" s="88"/>
      <c r="CF7" s="88"/>
      <c r="CG7" s="88" t="s">
        <v>65</v>
      </c>
      <c r="CH7" s="88" t="s">
        <v>37</v>
      </c>
      <c r="CI7" s="88" t="s">
        <v>43</v>
      </c>
    </row>
    <row r="8" spans="1:87" ht="91.5" customHeight="1">
      <c r="A8" s="88" t="s">
        <v>264</v>
      </c>
      <c r="B8" s="89" t="s">
        <v>292</v>
      </c>
      <c r="C8" s="88" t="s">
        <v>293</v>
      </c>
      <c r="D8" s="90" t="s">
        <v>267</v>
      </c>
      <c r="E8" s="90" t="s">
        <v>294</v>
      </c>
      <c r="F8" s="88" t="s">
        <v>295</v>
      </c>
      <c r="G8" s="88" t="s">
        <v>269</v>
      </c>
      <c r="H8" s="88" t="s">
        <v>270</v>
      </c>
      <c r="I8" s="88" t="s">
        <v>270</v>
      </c>
      <c r="J8" s="88" t="s">
        <v>270</v>
      </c>
      <c r="K8" s="91">
        <v>42580.734027777777</v>
      </c>
      <c r="L8" s="91">
        <v>42608.601388888892</v>
      </c>
      <c r="M8" s="91">
        <v>42605.705555555556</v>
      </c>
      <c r="N8" s="91">
        <v>42605.656944444447</v>
      </c>
      <c r="O8" s="88"/>
      <c r="P8" s="88"/>
      <c r="Q8" s="88" t="s">
        <v>44</v>
      </c>
      <c r="R8" s="88"/>
      <c r="S8" s="88">
        <v>0</v>
      </c>
      <c r="T8" s="88">
        <v>1</v>
      </c>
      <c r="U8" s="92" t="s">
        <v>296</v>
      </c>
      <c r="V8" s="88"/>
      <c r="W8" s="88"/>
      <c r="X8" s="88"/>
      <c r="Y8" s="88"/>
      <c r="Z8" s="88"/>
      <c r="AA8" s="88"/>
      <c r="AB8" s="88" t="s">
        <v>297</v>
      </c>
      <c r="AC8" s="88" t="s">
        <v>298</v>
      </c>
      <c r="AD8" s="88"/>
      <c r="AE8" s="88"/>
      <c r="AF8" s="88"/>
      <c r="AG8" s="88"/>
      <c r="AH8" s="88"/>
      <c r="AI8" s="88"/>
      <c r="AJ8" s="88" t="s">
        <v>299</v>
      </c>
      <c r="AK8" s="88"/>
      <c r="AL8" s="88"/>
      <c r="AM8" s="88"/>
      <c r="AN8" s="88"/>
      <c r="AO8" s="88"/>
      <c r="AP8" s="88"/>
      <c r="AQ8" s="88"/>
      <c r="AR8" s="88"/>
      <c r="AS8" s="88"/>
      <c r="AT8" s="88"/>
      <c r="AU8" s="88"/>
      <c r="AV8" s="88"/>
      <c r="AW8" s="92" t="s">
        <v>274</v>
      </c>
      <c r="AX8" s="88"/>
      <c r="AY8" s="88"/>
      <c r="AZ8" s="88"/>
      <c r="BA8" s="88"/>
      <c r="BB8" s="88"/>
      <c r="BC8" s="88"/>
      <c r="BD8" s="88" t="s">
        <v>59</v>
      </c>
      <c r="BE8" s="88"/>
      <c r="BF8" s="95">
        <v>1.85</v>
      </c>
      <c r="BG8" s="88"/>
      <c r="BH8" s="88"/>
      <c r="BI8" s="88"/>
      <c r="BJ8" s="88"/>
      <c r="BK8" s="88"/>
      <c r="BL8" s="88"/>
      <c r="BM8" s="88"/>
      <c r="BN8" s="88" t="s">
        <v>274</v>
      </c>
      <c r="BO8" s="88"/>
      <c r="BP8" s="92" t="s">
        <v>276</v>
      </c>
      <c r="BQ8" s="88" t="s">
        <v>300</v>
      </c>
      <c r="BR8" s="92" t="s">
        <v>278</v>
      </c>
      <c r="BS8" s="88"/>
      <c r="BT8" s="88"/>
      <c r="BU8" s="88"/>
      <c r="BV8" s="88"/>
      <c r="BW8" s="88"/>
      <c r="BX8" s="88"/>
      <c r="BY8" s="88"/>
      <c r="BZ8" s="88"/>
      <c r="CA8" s="88"/>
      <c r="CB8" s="88">
        <v>63917</v>
      </c>
      <c r="CC8" s="88"/>
      <c r="CD8" s="88"/>
      <c r="CE8" s="88"/>
      <c r="CF8" s="88"/>
      <c r="CG8" s="88" t="s">
        <v>36</v>
      </c>
      <c r="CH8" s="88" t="s">
        <v>37</v>
      </c>
      <c r="CI8" s="88" t="s">
        <v>43</v>
      </c>
    </row>
    <row r="9" spans="1:87" ht="91.5" customHeight="1">
      <c r="A9" s="88" t="s">
        <v>264</v>
      </c>
      <c r="B9" s="89" t="s">
        <v>301</v>
      </c>
      <c r="C9" s="88" t="s">
        <v>302</v>
      </c>
      <c r="D9" s="90" t="s">
        <v>267</v>
      </c>
      <c r="E9" s="90" t="s">
        <v>77</v>
      </c>
      <c r="F9" s="88" t="s">
        <v>137</v>
      </c>
      <c r="G9" s="88" t="s">
        <v>269</v>
      </c>
      <c r="H9" s="88" t="s">
        <v>270</v>
      </c>
      <c r="I9" s="88" t="s">
        <v>270</v>
      </c>
      <c r="J9" s="88" t="s">
        <v>270</v>
      </c>
      <c r="K9" s="91">
        <v>42580.723611111112</v>
      </c>
      <c r="L9" s="91">
        <v>42608.405555555553</v>
      </c>
      <c r="M9" s="91">
        <v>42607.726388888892</v>
      </c>
      <c r="N9" s="91">
        <v>42605.468055555553</v>
      </c>
      <c r="O9" s="88"/>
      <c r="P9" s="88"/>
      <c r="Q9" s="88" t="s">
        <v>44</v>
      </c>
      <c r="R9" s="88"/>
      <c r="S9" s="88">
        <v>0</v>
      </c>
      <c r="T9" s="88">
        <v>1</v>
      </c>
      <c r="U9" s="92" t="s">
        <v>303</v>
      </c>
      <c r="V9" s="88"/>
      <c r="W9" s="88"/>
      <c r="X9" s="88"/>
      <c r="Y9" s="88"/>
      <c r="Z9" s="88"/>
      <c r="AA9" s="88"/>
      <c r="AB9" s="88" t="s">
        <v>297</v>
      </c>
      <c r="AC9" s="88" t="s">
        <v>304</v>
      </c>
      <c r="AD9" s="88"/>
      <c r="AE9" s="88"/>
      <c r="AF9" s="88"/>
      <c r="AG9" s="88"/>
      <c r="AH9" s="88"/>
      <c r="AI9" s="88"/>
      <c r="AJ9" s="88" t="s">
        <v>283</v>
      </c>
      <c r="AK9" s="88"/>
      <c r="AL9" s="88"/>
      <c r="AM9" s="88"/>
      <c r="AN9" s="88"/>
      <c r="AO9" s="88"/>
      <c r="AP9" s="88"/>
      <c r="AQ9" s="88"/>
      <c r="AR9" s="88"/>
      <c r="AS9" s="88"/>
      <c r="AT9" s="88"/>
      <c r="AU9" s="88"/>
      <c r="AV9" s="88"/>
      <c r="AW9" s="92" t="s">
        <v>274</v>
      </c>
      <c r="AX9" s="88"/>
      <c r="AY9" s="88"/>
      <c r="AZ9" s="88"/>
      <c r="BA9" s="88"/>
      <c r="BB9" s="88"/>
      <c r="BC9" s="88"/>
      <c r="BD9" s="88" t="s">
        <v>59</v>
      </c>
      <c r="BE9" s="88"/>
      <c r="BF9" s="95">
        <v>1.85</v>
      </c>
      <c r="BG9" s="88"/>
      <c r="BH9" s="88"/>
      <c r="BI9" s="88"/>
      <c r="BJ9" s="88"/>
      <c r="BK9" s="88"/>
      <c r="BL9" s="88"/>
      <c r="BM9" s="88"/>
      <c r="BN9" s="88" t="s">
        <v>274</v>
      </c>
      <c r="BO9" s="88"/>
      <c r="BP9" s="92" t="s">
        <v>276</v>
      </c>
      <c r="BQ9" s="88" t="s">
        <v>277</v>
      </c>
      <c r="BR9" s="92" t="s">
        <v>278</v>
      </c>
      <c r="BS9" s="88"/>
      <c r="BT9" s="88"/>
      <c r="BU9" s="88"/>
      <c r="BV9" s="88"/>
      <c r="BW9" s="88"/>
      <c r="BX9" s="88"/>
      <c r="BY9" s="88"/>
      <c r="BZ9" s="88"/>
      <c r="CA9" s="88"/>
      <c r="CB9" s="88">
        <v>83961</v>
      </c>
      <c r="CC9" s="88"/>
      <c r="CD9" s="88"/>
      <c r="CE9" s="88"/>
      <c r="CF9" s="88"/>
      <c r="CG9" s="88" t="s">
        <v>36</v>
      </c>
      <c r="CH9" s="88" t="s">
        <v>37</v>
      </c>
      <c r="CI9" s="88" t="s">
        <v>43</v>
      </c>
    </row>
    <row r="10" spans="1:87" ht="91.5" customHeight="1">
      <c r="A10" s="88" t="s">
        <v>264</v>
      </c>
      <c r="B10" s="89" t="s">
        <v>305</v>
      </c>
      <c r="C10" s="88" t="s">
        <v>306</v>
      </c>
      <c r="D10" s="90" t="s">
        <v>267</v>
      </c>
      <c r="E10" s="90" t="s">
        <v>77</v>
      </c>
      <c r="F10" s="88" t="s">
        <v>295</v>
      </c>
      <c r="G10" s="88" t="s">
        <v>269</v>
      </c>
      <c r="H10" s="88" t="s">
        <v>270</v>
      </c>
      <c r="I10" s="88" t="s">
        <v>270</v>
      </c>
      <c r="J10" s="88" t="s">
        <v>270</v>
      </c>
      <c r="K10" s="91">
        <v>42580.716666666667</v>
      </c>
      <c r="L10" s="91">
        <v>42608.405555555553</v>
      </c>
      <c r="M10" s="91">
        <v>42607.725694444445</v>
      </c>
      <c r="N10" s="91">
        <v>42605.46875</v>
      </c>
      <c r="O10" s="88"/>
      <c r="P10" s="88"/>
      <c r="Q10" s="88" t="s">
        <v>44</v>
      </c>
      <c r="R10" s="88"/>
      <c r="S10" s="88">
        <v>0</v>
      </c>
      <c r="T10" s="88">
        <v>1</v>
      </c>
      <c r="U10" s="92" t="s">
        <v>307</v>
      </c>
      <c r="V10" s="88"/>
      <c r="W10" s="88"/>
      <c r="X10" s="88"/>
      <c r="Y10" s="88"/>
      <c r="Z10" s="88"/>
      <c r="AA10" s="88"/>
      <c r="AB10" s="88" t="s">
        <v>297</v>
      </c>
      <c r="AC10" s="88" t="s">
        <v>308</v>
      </c>
      <c r="AD10" s="88"/>
      <c r="AE10" s="88"/>
      <c r="AF10" s="88"/>
      <c r="AG10" s="88"/>
      <c r="AH10" s="88"/>
      <c r="AI10" s="88"/>
      <c r="AJ10" s="88" t="s">
        <v>283</v>
      </c>
      <c r="AK10" s="88"/>
      <c r="AL10" s="88"/>
      <c r="AM10" s="88"/>
      <c r="AN10" s="88"/>
      <c r="AO10" s="88"/>
      <c r="AP10" s="88"/>
      <c r="AQ10" s="88"/>
      <c r="AR10" s="88"/>
      <c r="AS10" s="88"/>
      <c r="AT10" s="88"/>
      <c r="AU10" s="88"/>
      <c r="AV10" s="88"/>
      <c r="AW10" s="92" t="s">
        <v>274</v>
      </c>
      <c r="AX10" s="88"/>
      <c r="AY10" s="88"/>
      <c r="AZ10" s="88"/>
      <c r="BA10" s="88"/>
      <c r="BB10" s="88"/>
      <c r="BC10" s="88"/>
      <c r="BD10" s="88" t="s">
        <v>59</v>
      </c>
      <c r="BE10" s="88"/>
      <c r="BF10" s="95">
        <v>1.85</v>
      </c>
      <c r="BG10" s="88"/>
      <c r="BH10" s="88"/>
      <c r="BI10" s="88"/>
      <c r="BJ10" s="88"/>
      <c r="BK10" s="88"/>
      <c r="BL10" s="88"/>
      <c r="BM10" s="88"/>
      <c r="BN10" s="88" t="s">
        <v>274</v>
      </c>
      <c r="BO10" s="88"/>
      <c r="BP10" s="92" t="s">
        <v>276</v>
      </c>
      <c r="BQ10" s="88" t="s">
        <v>277</v>
      </c>
      <c r="BR10" s="92" t="s">
        <v>278</v>
      </c>
      <c r="BS10" s="88"/>
      <c r="BT10" s="88"/>
      <c r="BU10" s="88"/>
      <c r="BV10" s="88"/>
      <c r="BW10" s="88"/>
      <c r="BX10" s="88"/>
      <c r="BY10" s="88"/>
      <c r="BZ10" s="88"/>
      <c r="CA10" s="88"/>
      <c r="CB10" s="88">
        <v>83960</v>
      </c>
      <c r="CC10" s="88"/>
      <c r="CD10" s="88"/>
      <c r="CE10" s="88"/>
      <c r="CF10" s="88"/>
      <c r="CG10" s="88" t="s">
        <v>36</v>
      </c>
      <c r="CH10" s="88" t="s">
        <v>37</v>
      </c>
      <c r="CI10" s="88" t="s">
        <v>43</v>
      </c>
    </row>
    <row r="11" spans="1:87" ht="91.5" customHeight="1">
      <c r="A11" s="88" t="s">
        <v>264</v>
      </c>
      <c r="B11" s="89" t="s">
        <v>309</v>
      </c>
      <c r="C11" s="88" t="s">
        <v>310</v>
      </c>
      <c r="D11" s="90" t="s">
        <v>267</v>
      </c>
      <c r="E11" s="90" t="s">
        <v>77</v>
      </c>
      <c r="F11" s="88" t="s">
        <v>295</v>
      </c>
      <c r="G11" s="88" t="s">
        <v>269</v>
      </c>
      <c r="H11" s="88" t="s">
        <v>270</v>
      </c>
      <c r="I11" s="88" t="s">
        <v>270</v>
      </c>
      <c r="J11" s="88" t="s">
        <v>270</v>
      </c>
      <c r="K11" s="91">
        <v>42579.356944444444</v>
      </c>
      <c r="L11" s="88"/>
      <c r="M11" s="91">
        <v>42580.432638888888</v>
      </c>
      <c r="N11" s="91">
        <v>42580.406944444447</v>
      </c>
      <c r="O11" s="88"/>
      <c r="P11" s="88"/>
      <c r="Q11" s="88" t="s">
        <v>68</v>
      </c>
      <c r="R11" s="88"/>
      <c r="S11" s="88">
        <v>0</v>
      </c>
      <c r="T11" s="88">
        <v>1</v>
      </c>
      <c r="U11" s="92" t="s">
        <v>311</v>
      </c>
      <c r="V11" s="88"/>
      <c r="W11" s="88"/>
      <c r="X11" s="88"/>
      <c r="Y11" s="88"/>
      <c r="Z11" s="88"/>
      <c r="AA11" s="88"/>
      <c r="AB11" s="88" t="s">
        <v>312</v>
      </c>
      <c r="AC11" s="88" t="s">
        <v>313</v>
      </c>
      <c r="AD11" s="88"/>
      <c r="AE11" s="88"/>
      <c r="AF11" s="88"/>
      <c r="AG11" s="88"/>
      <c r="AH11" s="88"/>
      <c r="AI11" s="88"/>
      <c r="AJ11" s="88" t="s">
        <v>314</v>
      </c>
      <c r="AK11" s="88"/>
      <c r="AL11" s="88"/>
      <c r="AM11" s="88"/>
      <c r="AN11" s="88"/>
      <c r="AO11" s="88"/>
      <c r="AP11" s="88"/>
      <c r="AQ11" s="88"/>
      <c r="AR11" s="88"/>
      <c r="AS11" s="88"/>
      <c r="AT11" s="88"/>
      <c r="AU11" s="88"/>
      <c r="AV11" s="88"/>
      <c r="AW11" s="92" t="s">
        <v>274</v>
      </c>
      <c r="AX11" s="88"/>
      <c r="AY11" s="88"/>
      <c r="AZ11" s="88"/>
      <c r="BA11" s="88"/>
      <c r="BB11" s="88"/>
      <c r="BC11" s="88"/>
      <c r="BD11" s="88" t="s">
        <v>59</v>
      </c>
      <c r="BE11" s="88"/>
      <c r="BF11" s="95">
        <v>1.84</v>
      </c>
      <c r="BG11" s="88"/>
      <c r="BH11" s="88"/>
      <c r="BI11" s="88"/>
      <c r="BJ11" s="88"/>
      <c r="BK11" s="88"/>
      <c r="BL11" s="88"/>
      <c r="BM11" s="88"/>
      <c r="BN11" s="88" t="s">
        <v>274</v>
      </c>
      <c r="BO11" s="88"/>
      <c r="BP11" s="92" t="s">
        <v>276</v>
      </c>
      <c r="BQ11" s="88" t="s">
        <v>315</v>
      </c>
      <c r="BR11" s="92" t="s">
        <v>278</v>
      </c>
      <c r="BS11" s="88"/>
      <c r="BT11" s="88"/>
      <c r="BU11" s="88"/>
      <c r="BV11" s="88"/>
      <c r="BW11" s="88"/>
      <c r="BX11" s="88"/>
      <c r="BY11" s="88"/>
      <c r="BZ11" s="88"/>
      <c r="CA11" s="88"/>
      <c r="CB11" s="88">
        <v>82097</v>
      </c>
      <c r="CC11" s="88"/>
      <c r="CD11" s="88"/>
      <c r="CE11" s="88"/>
      <c r="CF11" s="88"/>
      <c r="CG11" s="88" t="s">
        <v>61</v>
      </c>
      <c r="CH11" s="88" t="s">
        <v>37</v>
      </c>
      <c r="CI11" s="88" t="s">
        <v>43</v>
      </c>
    </row>
    <row r="12" spans="1:87" ht="91.5" customHeight="1">
      <c r="A12" s="88" t="s">
        <v>264</v>
      </c>
      <c r="B12" s="89" t="s">
        <v>316</v>
      </c>
      <c r="C12" s="88" t="s">
        <v>317</v>
      </c>
      <c r="D12" s="90" t="s">
        <v>267</v>
      </c>
      <c r="E12" s="90" t="s">
        <v>77</v>
      </c>
      <c r="F12" s="88" t="s">
        <v>137</v>
      </c>
      <c r="G12" s="88" t="s">
        <v>269</v>
      </c>
      <c r="H12" s="88" t="s">
        <v>270</v>
      </c>
      <c r="I12" s="88" t="s">
        <v>270</v>
      </c>
      <c r="J12" s="88" t="s">
        <v>270</v>
      </c>
      <c r="K12" s="91">
        <v>42578.568055555559</v>
      </c>
      <c r="L12" s="91">
        <v>42594.568055555559</v>
      </c>
      <c r="M12" s="91">
        <v>42580.679166666669</v>
      </c>
      <c r="N12" s="91">
        <v>42578.736805555556</v>
      </c>
      <c r="O12" s="88"/>
      <c r="P12" s="88"/>
      <c r="Q12" s="88" t="s">
        <v>58</v>
      </c>
      <c r="R12" s="88"/>
      <c r="S12" s="88">
        <v>0</v>
      </c>
      <c r="T12" s="88">
        <v>1</v>
      </c>
      <c r="U12" s="92" t="s">
        <v>318</v>
      </c>
      <c r="V12" s="88"/>
      <c r="W12" s="88"/>
      <c r="X12" s="88"/>
      <c r="Y12" s="88"/>
      <c r="Z12" s="88"/>
      <c r="AA12" s="88"/>
      <c r="AB12" s="88" t="s">
        <v>319</v>
      </c>
      <c r="AC12" s="88" t="s">
        <v>320</v>
      </c>
      <c r="AD12" s="88"/>
      <c r="AE12" s="88"/>
      <c r="AF12" s="88"/>
      <c r="AG12" s="88"/>
      <c r="AH12" s="88"/>
      <c r="AI12" s="88"/>
      <c r="AJ12" s="88"/>
      <c r="AK12" s="88"/>
      <c r="AL12" s="88"/>
      <c r="AM12" s="88"/>
      <c r="AN12" s="88"/>
      <c r="AO12" s="88"/>
      <c r="AP12" s="88"/>
      <c r="AQ12" s="88"/>
      <c r="AR12" s="88"/>
      <c r="AS12" s="88"/>
      <c r="AT12" s="88"/>
      <c r="AU12" s="88"/>
      <c r="AV12" s="88"/>
      <c r="AW12" s="92" t="s">
        <v>274</v>
      </c>
      <c r="AX12" s="88"/>
      <c r="AY12" s="88"/>
      <c r="AZ12" s="88"/>
      <c r="BA12" s="88"/>
      <c r="BB12" s="88"/>
      <c r="BC12" s="88"/>
      <c r="BD12" s="88" t="s">
        <v>59</v>
      </c>
      <c r="BE12" s="88"/>
      <c r="BF12" s="95">
        <v>1.81</v>
      </c>
      <c r="BG12" s="88"/>
      <c r="BH12" s="88"/>
      <c r="BI12" s="88"/>
      <c r="BJ12" s="88"/>
      <c r="BK12" s="88"/>
      <c r="BL12" s="88"/>
      <c r="BM12" s="88"/>
      <c r="BN12" s="88" t="s">
        <v>274</v>
      </c>
      <c r="BO12" s="88"/>
      <c r="BP12" s="92" t="s">
        <v>276</v>
      </c>
      <c r="BQ12" s="88" t="s">
        <v>315</v>
      </c>
      <c r="BR12" s="92" t="s">
        <v>278</v>
      </c>
      <c r="BS12" s="88"/>
      <c r="BT12" s="88"/>
      <c r="BU12" s="88"/>
      <c r="BV12" s="88"/>
      <c r="BW12" s="88"/>
      <c r="BX12" s="88"/>
      <c r="BY12" s="88"/>
      <c r="BZ12" s="88"/>
      <c r="CA12" s="88"/>
      <c r="CB12" s="88">
        <v>64015</v>
      </c>
      <c r="CC12" s="88"/>
      <c r="CD12" s="88"/>
      <c r="CE12" s="88"/>
      <c r="CF12" s="88"/>
      <c r="CG12" s="88" t="s">
        <v>36</v>
      </c>
      <c r="CH12" s="88" t="s">
        <v>37</v>
      </c>
      <c r="CI12" s="88" t="s">
        <v>43</v>
      </c>
    </row>
    <row r="13" spans="1:87" ht="91.5" customHeight="1">
      <c r="A13" s="88" t="s">
        <v>264</v>
      </c>
      <c r="B13" s="89" t="s">
        <v>321</v>
      </c>
      <c r="C13" s="88" t="s">
        <v>322</v>
      </c>
      <c r="D13" s="90" t="s">
        <v>267</v>
      </c>
      <c r="E13" s="90" t="s">
        <v>77</v>
      </c>
      <c r="F13" s="88" t="s">
        <v>295</v>
      </c>
      <c r="G13" s="88" t="s">
        <v>269</v>
      </c>
      <c r="H13" s="88" t="s">
        <v>270</v>
      </c>
      <c r="I13" s="88" t="s">
        <v>323</v>
      </c>
      <c r="J13" s="88" t="s">
        <v>323</v>
      </c>
      <c r="K13" s="91">
        <v>42577.785416666666</v>
      </c>
      <c r="L13" s="88"/>
      <c r="M13" s="91">
        <v>42580.679861111108</v>
      </c>
      <c r="N13" s="91">
        <v>42578.649305555555</v>
      </c>
      <c r="O13" s="88"/>
      <c r="P13" s="88"/>
      <c r="Q13" s="88" t="s">
        <v>62</v>
      </c>
      <c r="R13" s="88"/>
      <c r="S13" s="88">
        <v>0</v>
      </c>
      <c r="T13" s="88">
        <v>2</v>
      </c>
      <c r="U13" s="88" t="s">
        <v>324</v>
      </c>
      <c r="V13" s="88"/>
      <c r="W13" s="88"/>
      <c r="X13" s="88"/>
      <c r="Y13" s="88"/>
      <c r="Z13" s="88"/>
      <c r="AA13" s="88"/>
      <c r="AB13" s="88" t="s">
        <v>325</v>
      </c>
      <c r="AC13" s="88" t="s">
        <v>326</v>
      </c>
      <c r="AD13" s="88"/>
      <c r="AE13" s="88"/>
      <c r="AF13" s="88"/>
      <c r="AG13" s="88"/>
      <c r="AH13" s="88"/>
      <c r="AI13" s="88"/>
      <c r="AJ13" s="88" t="s">
        <v>327</v>
      </c>
      <c r="AK13" s="88"/>
      <c r="AL13" s="88"/>
      <c r="AM13" s="88"/>
      <c r="AN13" s="88"/>
      <c r="AO13" s="88"/>
      <c r="AP13" s="88"/>
      <c r="AQ13" s="88"/>
      <c r="AR13" s="88"/>
      <c r="AS13" s="88"/>
      <c r="AT13" s="88"/>
      <c r="AU13" s="88"/>
      <c r="AV13" s="88"/>
      <c r="AW13" s="92" t="s">
        <v>274</v>
      </c>
      <c r="AX13" s="88"/>
      <c r="AY13" s="88"/>
      <c r="AZ13" s="88"/>
      <c r="BA13" s="88"/>
      <c r="BB13" s="88"/>
      <c r="BC13" s="88"/>
      <c r="BD13" s="88" t="s">
        <v>59</v>
      </c>
      <c r="BE13" s="88"/>
      <c r="BF13" s="95">
        <v>1.82</v>
      </c>
      <c r="BG13" s="88"/>
      <c r="BH13" s="88"/>
      <c r="BI13" s="88"/>
      <c r="BJ13" s="88"/>
      <c r="BK13" s="88"/>
      <c r="BL13" s="88"/>
      <c r="BM13" s="88"/>
      <c r="BN13" s="88" t="s">
        <v>274</v>
      </c>
      <c r="BO13" s="88"/>
      <c r="BP13" s="92" t="s">
        <v>276</v>
      </c>
      <c r="BQ13" s="88" t="s">
        <v>315</v>
      </c>
      <c r="BR13" s="88"/>
      <c r="BS13" s="88"/>
      <c r="BT13" s="88"/>
      <c r="BU13" s="88"/>
      <c r="BV13" s="88"/>
      <c r="BW13" s="88"/>
      <c r="BX13" s="88"/>
      <c r="BY13" s="88"/>
      <c r="BZ13" s="88"/>
      <c r="CA13" s="88"/>
      <c r="CB13" s="88">
        <v>63901</v>
      </c>
      <c r="CC13" s="88"/>
      <c r="CD13" s="88"/>
      <c r="CE13" s="88"/>
      <c r="CF13" s="88"/>
      <c r="CG13" s="88" t="s">
        <v>36</v>
      </c>
      <c r="CH13" s="88" t="s">
        <v>37</v>
      </c>
      <c r="CI13" s="88" t="s">
        <v>43</v>
      </c>
    </row>
    <row r="14" spans="1:87" ht="91.5" customHeight="1">
      <c r="A14" s="88" t="s">
        <v>264</v>
      </c>
      <c r="B14" s="89" t="s">
        <v>328</v>
      </c>
      <c r="C14" s="88" t="s">
        <v>329</v>
      </c>
      <c r="D14" s="90" t="s">
        <v>267</v>
      </c>
      <c r="E14" s="90" t="s">
        <v>77</v>
      </c>
      <c r="F14" s="88" t="s">
        <v>268</v>
      </c>
      <c r="G14" s="88" t="s">
        <v>269</v>
      </c>
      <c r="H14" s="88" t="s">
        <v>270</v>
      </c>
      <c r="I14" s="88" t="s">
        <v>270</v>
      </c>
      <c r="J14" s="88" t="s">
        <v>270</v>
      </c>
      <c r="K14" s="91">
        <v>42573.666666666664</v>
      </c>
      <c r="L14" s="91">
        <v>42594.568055555559</v>
      </c>
      <c r="M14" s="91">
        <v>42580.679861111108</v>
      </c>
      <c r="N14" s="91">
        <v>42576.554166666669</v>
      </c>
      <c r="O14" s="88"/>
      <c r="P14" s="88"/>
      <c r="Q14" s="88" t="s">
        <v>44</v>
      </c>
      <c r="R14" s="88"/>
      <c r="S14" s="88">
        <v>0</v>
      </c>
      <c r="T14" s="88">
        <v>1</v>
      </c>
      <c r="U14" s="92" t="s">
        <v>330</v>
      </c>
      <c r="V14" s="88"/>
      <c r="W14" s="88"/>
      <c r="X14" s="88"/>
      <c r="Y14" s="88"/>
      <c r="Z14" s="88"/>
      <c r="AA14" s="88"/>
      <c r="AB14" s="88" t="s">
        <v>319</v>
      </c>
      <c r="AC14" s="88" t="s">
        <v>331</v>
      </c>
      <c r="AD14" s="88"/>
      <c r="AE14" s="88"/>
      <c r="AF14" s="88"/>
      <c r="AG14" s="88"/>
      <c r="AH14" s="88"/>
      <c r="AI14" s="88"/>
      <c r="AJ14" s="88" t="s">
        <v>332</v>
      </c>
      <c r="AK14" s="88"/>
      <c r="AL14" s="88"/>
      <c r="AM14" s="88"/>
      <c r="AN14" s="88"/>
      <c r="AO14" s="88"/>
      <c r="AP14" s="88"/>
      <c r="AQ14" s="88"/>
      <c r="AR14" s="88"/>
      <c r="AS14" s="88"/>
      <c r="AT14" s="88"/>
      <c r="AU14" s="88"/>
      <c r="AV14" s="88"/>
      <c r="AW14" s="92" t="s">
        <v>274</v>
      </c>
      <c r="AX14" s="88"/>
      <c r="AY14" s="88"/>
      <c r="AZ14" s="88"/>
      <c r="BA14" s="88"/>
      <c r="BB14" s="88"/>
      <c r="BC14" s="88"/>
      <c r="BD14" s="88" t="s">
        <v>59</v>
      </c>
      <c r="BE14" s="88"/>
      <c r="BF14" s="95">
        <v>1.8</v>
      </c>
      <c r="BG14" s="88"/>
      <c r="BH14" s="88"/>
      <c r="BI14" s="88"/>
      <c r="BJ14" s="88"/>
      <c r="BK14" s="88"/>
      <c r="BL14" s="88"/>
      <c r="BM14" s="88"/>
      <c r="BN14" s="88" t="s">
        <v>274</v>
      </c>
      <c r="BO14" s="88"/>
      <c r="BP14" s="92" t="s">
        <v>276</v>
      </c>
      <c r="BQ14" s="88" t="s">
        <v>315</v>
      </c>
      <c r="BR14" s="88"/>
      <c r="BS14" s="88"/>
      <c r="BT14" s="88"/>
      <c r="BU14" s="88"/>
      <c r="BV14" s="88"/>
      <c r="BW14" s="88"/>
      <c r="BX14" s="88"/>
      <c r="BY14" s="88"/>
      <c r="BZ14" s="88"/>
      <c r="CA14" s="88"/>
      <c r="CB14" s="88">
        <v>63902</v>
      </c>
      <c r="CC14" s="88"/>
      <c r="CD14" s="88"/>
      <c r="CE14" s="88"/>
      <c r="CF14" s="88"/>
      <c r="CG14" s="88" t="s">
        <v>47</v>
      </c>
      <c r="CH14" s="88" t="s">
        <v>37</v>
      </c>
      <c r="CI14" s="88" t="s">
        <v>43</v>
      </c>
    </row>
    <row r="15" spans="1:87" ht="91.5" customHeight="1">
      <c r="A15" s="88" t="s">
        <v>264</v>
      </c>
      <c r="B15" s="89" t="s">
        <v>333</v>
      </c>
      <c r="C15" s="88" t="s">
        <v>334</v>
      </c>
      <c r="D15" s="90" t="s">
        <v>267</v>
      </c>
      <c r="E15" s="90" t="s">
        <v>77</v>
      </c>
      <c r="F15" s="88" t="s">
        <v>295</v>
      </c>
      <c r="G15" s="88" t="s">
        <v>335</v>
      </c>
      <c r="H15" s="88" t="s">
        <v>270</v>
      </c>
      <c r="I15" s="88" t="s">
        <v>270</v>
      </c>
      <c r="J15" s="88" t="s">
        <v>270</v>
      </c>
      <c r="K15" s="91">
        <v>42566.491666666669</v>
      </c>
      <c r="L15" s="91">
        <v>42580.431944444441</v>
      </c>
      <c r="M15" s="91">
        <v>42566.679166666669</v>
      </c>
      <c r="N15" s="91">
        <v>42566.550694444442</v>
      </c>
      <c r="O15" s="88" t="s">
        <v>336</v>
      </c>
      <c r="P15" s="88" t="s">
        <v>336</v>
      </c>
      <c r="Q15" s="88" t="s">
        <v>52</v>
      </c>
      <c r="R15" s="88"/>
      <c r="S15" s="88">
        <v>0</v>
      </c>
      <c r="T15" s="88">
        <v>1</v>
      </c>
      <c r="U15" s="88"/>
      <c r="V15" s="88"/>
      <c r="W15" s="88"/>
      <c r="X15" s="88"/>
      <c r="Y15" s="88"/>
      <c r="Z15" s="88"/>
      <c r="AA15" s="88"/>
      <c r="AB15" s="88"/>
      <c r="AC15" s="88" t="s">
        <v>337</v>
      </c>
      <c r="AD15" s="88"/>
      <c r="AE15" s="88"/>
      <c r="AF15" s="88"/>
      <c r="AG15" s="88"/>
      <c r="AH15" s="88"/>
      <c r="AI15" s="88"/>
      <c r="AJ15" s="88"/>
      <c r="AK15" s="88"/>
      <c r="AL15" s="88"/>
      <c r="AM15" s="88"/>
      <c r="AN15" s="88"/>
      <c r="AO15" s="88"/>
      <c r="AP15" s="88"/>
      <c r="AQ15" s="88"/>
      <c r="AR15" s="88"/>
      <c r="AS15" s="88"/>
      <c r="AT15" s="88"/>
      <c r="AU15" s="88"/>
      <c r="AV15" s="88"/>
      <c r="AW15" s="92" t="s">
        <v>274</v>
      </c>
      <c r="AX15" s="88"/>
      <c r="AY15" s="88"/>
      <c r="AZ15" s="88"/>
      <c r="BA15" s="88"/>
      <c r="BB15" s="88"/>
      <c r="BC15" s="88"/>
      <c r="BD15" s="88" t="s">
        <v>59</v>
      </c>
      <c r="BE15" s="88"/>
      <c r="BF15" s="95">
        <v>1.7</v>
      </c>
      <c r="BG15" s="88"/>
      <c r="BH15" s="88"/>
      <c r="BI15" s="88"/>
      <c r="BJ15" s="88" t="s">
        <v>139</v>
      </c>
      <c r="BK15" s="88"/>
      <c r="BL15" s="88"/>
      <c r="BM15" s="88"/>
      <c r="BN15" s="88" t="s">
        <v>274</v>
      </c>
      <c r="BO15" s="88"/>
      <c r="BP15" s="92" t="s">
        <v>276</v>
      </c>
      <c r="BQ15" s="88" t="s">
        <v>336</v>
      </c>
      <c r="BR15" s="88"/>
      <c r="BS15" s="88"/>
      <c r="BT15" s="88"/>
      <c r="BU15" s="88"/>
      <c r="BV15" s="88"/>
      <c r="BW15" s="88"/>
      <c r="BX15" s="88"/>
      <c r="BY15" s="88"/>
      <c r="BZ15" s="88"/>
      <c r="CA15" s="88"/>
      <c r="CB15" s="88">
        <v>63899</v>
      </c>
      <c r="CC15" s="88"/>
      <c r="CD15" s="88"/>
      <c r="CE15" s="88"/>
      <c r="CF15" s="88"/>
      <c r="CG15" s="88" t="s">
        <v>36</v>
      </c>
      <c r="CH15" s="88" t="s">
        <v>42</v>
      </c>
      <c r="CI15" s="88" t="s">
        <v>48</v>
      </c>
    </row>
    <row r="16" spans="1:87" ht="91.5" customHeight="1">
      <c r="A16" s="88" t="s">
        <v>264</v>
      </c>
      <c r="B16" s="89" t="s">
        <v>338</v>
      </c>
      <c r="C16" s="88" t="s">
        <v>339</v>
      </c>
      <c r="D16" s="90" t="s">
        <v>267</v>
      </c>
      <c r="E16" s="90" t="s">
        <v>77</v>
      </c>
      <c r="F16" s="88" t="s">
        <v>295</v>
      </c>
      <c r="G16" s="88" t="s">
        <v>335</v>
      </c>
      <c r="H16" s="88" t="s">
        <v>270</v>
      </c>
      <c r="I16" s="88" t="s">
        <v>270</v>
      </c>
      <c r="J16" s="88" t="s">
        <v>270</v>
      </c>
      <c r="K16" s="91">
        <v>42566.487500000003</v>
      </c>
      <c r="L16" s="88"/>
      <c r="M16" s="91">
        <v>42566.679166666669</v>
      </c>
      <c r="N16" s="91">
        <v>42566.550694444442</v>
      </c>
      <c r="O16" s="88" t="s">
        <v>336</v>
      </c>
      <c r="P16" s="88" t="s">
        <v>336</v>
      </c>
      <c r="Q16" s="88" t="s">
        <v>49</v>
      </c>
      <c r="R16" s="88"/>
      <c r="S16" s="88">
        <v>0</v>
      </c>
      <c r="T16" s="88">
        <v>1</v>
      </c>
      <c r="U16" s="88"/>
      <c r="V16" s="88"/>
      <c r="W16" s="88"/>
      <c r="X16" s="88"/>
      <c r="Y16" s="88"/>
      <c r="Z16" s="88"/>
      <c r="AA16" s="88"/>
      <c r="AB16" s="88"/>
      <c r="AC16" s="88" t="s">
        <v>340</v>
      </c>
      <c r="AD16" s="88"/>
      <c r="AE16" s="88"/>
      <c r="AF16" s="88"/>
      <c r="AG16" s="88"/>
      <c r="AH16" s="88"/>
      <c r="AI16" s="88"/>
      <c r="AJ16" s="88"/>
      <c r="AK16" s="88"/>
      <c r="AL16" s="88"/>
      <c r="AM16" s="88"/>
      <c r="AN16" s="88"/>
      <c r="AO16" s="88"/>
      <c r="AP16" s="88"/>
      <c r="AQ16" s="88"/>
      <c r="AR16" s="88"/>
      <c r="AS16" s="88"/>
      <c r="AT16" s="88"/>
      <c r="AU16" s="88"/>
      <c r="AV16" s="88"/>
      <c r="AW16" s="92" t="s">
        <v>274</v>
      </c>
      <c r="AX16" s="88"/>
      <c r="AY16" s="88"/>
      <c r="AZ16" s="88"/>
      <c r="BA16" s="88"/>
      <c r="BB16" s="88"/>
      <c r="BC16" s="88"/>
      <c r="BD16" s="88" t="s">
        <v>59</v>
      </c>
      <c r="BE16" s="88"/>
      <c r="BF16" s="95">
        <v>1.71</v>
      </c>
      <c r="BG16" s="88"/>
      <c r="BH16" s="88"/>
      <c r="BI16" s="88"/>
      <c r="BJ16" s="88" t="s">
        <v>139</v>
      </c>
      <c r="BK16" s="88"/>
      <c r="BL16" s="88"/>
      <c r="BM16" s="88"/>
      <c r="BN16" s="88" t="s">
        <v>274</v>
      </c>
      <c r="BO16" s="88"/>
      <c r="BP16" s="92" t="s">
        <v>276</v>
      </c>
      <c r="BQ16" s="88" t="s">
        <v>336</v>
      </c>
      <c r="BR16" s="88"/>
      <c r="BS16" s="88"/>
      <c r="BT16" s="88"/>
      <c r="BU16" s="88"/>
      <c r="BV16" s="88"/>
      <c r="BW16" s="88"/>
      <c r="BX16" s="88"/>
      <c r="BY16" s="88"/>
      <c r="BZ16" s="88"/>
      <c r="CA16" s="88"/>
      <c r="CB16" s="88">
        <v>63898</v>
      </c>
      <c r="CC16" s="88"/>
      <c r="CD16" s="88"/>
      <c r="CE16" s="88"/>
      <c r="CF16" s="88"/>
      <c r="CG16" s="88" t="s">
        <v>36</v>
      </c>
      <c r="CH16" s="88" t="s">
        <v>42</v>
      </c>
      <c r="CI16" s="88" t="s">
        <v>48</v>
      </c>
    </row>
    <row r="17" spans="1:87" ht="91.5" customHeight="1">
      <c r="A17" s="88" t="s">
        <v>264</v>
      </c>
      <c r="B17" s="89" t="s">
        <v>341</v>
      </c>
      <c r="C17" s="88" t="s">
        <v>342</v>
      </c>
      <c r="D17" s="90" t="s">
        <v>267</v>
      </c>
      <c r="E17" s="90" t="s">
        <v>77</v>
      </c>
      <c r="F17" s="88" t="s">
        <v>137</v>
      </c>
      <c r="G17" s="88" t="s">
        <v>269</v>
      </c>
      <c r="H17" s="88" t="s">
        <v>270</v>
      </c>
      <c r="I17" s="88" t="s">
        <v>270</v>
      </c>
      <c r="J17" s="88" t="s">
        <v>270</v>
      </c>
      <c r="K17" s="91">
        <v>42565.589583333334</v>
      </c>
      <c r="L17" s="88"/>
      <c r="M17" s="91">
        <v>42566.441666666666</v>
      </c>
      <c r="N17" s="91">
        <v>42566.441666666666</v>
      </c>
      <c r="O17" s="88" t="s">
        <v>336</v>
      </c>
      <c r="P17" s="88" t="s">
        <v>336</v>
      </c>
      <c r="Q17" s="88" t="s">
        <v>44</v>
      </c>
      <c r="R17" s="88"/>
      <c r="S17" s="88">
        <v>0</v>
      </c>
      <c r="T17" s="88">
        <v>1</v>
      </c>
      <c r="U17" s="92" t="s">
        <v>343</v>
      </c>
      <c r="V17" s="88"/>
      <c r="W17" s="88"/>
      <c r="X17" s="88"/>
      <c r="Y17" s="88"/>
      <c r="Z17" s="88"/>
      <c r="AA17" s="88"/>
      <c r="AB17" s="88" t="s">
        <v>288</v>
      </c>
      <c r="AC17" s="88" t="s">
        <v>344</v>
      </c>
      <c r="AD17" s="88"/>
      <c r="AE17" s="88"/>
      <c r="AF17" s="88"/>
      <c r="AG17" s="88"/>
      <c r="AH17" s="88"/>
      <c r="AI17" s="88"/>
      <c r="AJ17" s="88" t="s">
        <v>345</v>
      </c>
      <c r="AK17" s="88"/>
      <c r="AL17" s="88"/>
      <c r="AM17" s="88"/>
      <c r="AN17" s="88"/>
      <c r="AO17" s="88"/>
      <c r="AP17" s="88"/>
      <c r="AQ17" s="88"/>
      <c r="AR17" s="88"/>
      <c r="AS17" s="88"/>
      <c r="AT17" s="88"/>
      <c r="AU17" s="88"/>
      <c r="AV17" s="88"/>
      <c r="AW17" s="92" t="s">
        <v>274</v>
      </c>
      <c r="AX17" s="88"/>
      <c r="AY17" s="88"/>
      <c r="AZ17" s="88"/>
      <c r="BA17" s="88"/>
      <c r="BB17" s="88"/>
      <c r="BC17" s="88"/>
      <c r="BD17" s="88" t="s">
        <v>59</v>
      </c>
      <c r="BE17" s="88"/>
      <c r="BF17" s="95">
        <v>1.77</v>
      </c>
      <c r="BG17" s="88"/>
      <c r="BH17" s="88"/>
      <c r="BI17" s="88"/>
      <c r="BJ17" s="88"/>
      <c r="BK17" s="88"/>
      <c r="BL17" s="88"/>
      <c r="BM17" s="88"/>
      <c r="BN17" s="88" t="s">
        <v>274</v>
      </c>
      <c r="BO17" s="88"/>
      <c r="BP17" s="92" t="s">
        <v>276</v>
      </c>
      <c r="BQ17" s="88" t="s">
        <v>346</v>
      </c>
      <c r="BR17" s="92" t="s">
        <v>278</v>
      </c>
      <c r="BS17" s="88"/>
      <c r="BT17" s="88"/>
      <c r="BU17" s="88"/>
      <c r="BV17" s="88"/>
      <c r="BW17" s="88"/>
      <c r="BX17" s="88"/>
      <c r="BY17" s="88"/>
      <c r="BZ17" s="88"/>
      <c r="CA17" s="88"/>
      <c r="CB17" s="88">
        <v>63925</v>
      </c>
      <c r="CC17" s="88"/>
      <c r="CD17" s="88"/>
      <c r="CE17" s="88"/>
      <c r="CF17" s="88"/>
      <c r="CG17" s="88" t="s">
        <v>36</v>
      </c>
      <c r="CH17" s="88" t="s">
        <v>42</v>
      </c>
      <c r="CI17" s="88" t="s">
        <v>48</v>
      </c>
    </row>
    <row r="18" spans="1:87" ht="91.5" customHeight="1">
      <c r="A18" s="88" t="s">
        <v>264</v>
      </c>
      <c r="B18" s="89" t="s">
        <v>347</v>
      </c>
      <c r="C18" s="88" t="s">
        <v>348</v>
      </c>
      <c r="D18" s="90" t="s">
        <v>267</v>
      </c>
      <c r="E18" s="90" t="s">
        <v>77</v>
      </c>
      <c r="F18" s="88" t="s">
        <v>137</v>
      </c>
      <c r="G18" s="88" t="s">
        <v>269</v>
      </c>
      <c r="H18" s="88" t="s">
        <v>270</v>
      </c>
      <c r="I18" s="88" t="s">
        <v>270</v>
      </c>
      <c r="J18" s="88" t="s">
        <v>270</v>
      </c>
      <c r="K18" s="91">
        <v>42565.502083333333</v>
      </c>
      <c r="L18" s="88"/>
      <c r="M18" s="91">
        <v>42566.38958333333</v>
      </c>
      <c r="N18" s="91">
        <v>42565.563888888886</v>
      </c>
      <c r="O18" s="88" t="s">
        <v>336</v>
      </c>
      <c r="P18" s="88" t="s">
        <v>336</v>
      </c>
      <c r="Q18" s="88" t="s">
        <v>67</v>
      </c>
      <c r="R18" s="88"/>
      <c r="S18" s="88">
        <v>0</v>
      </c>
      <c r="T18" s="88">
        <v>1</v>
      </c>
      <c r="U18" s="92" t="s">
        <v>349</v>
      </c>
      <c r="V18" s="88"/>
      <c r="W18" s="88"/>
      <c r="X18" s="88"/>
      <c r="Y18" s="88"/>
      <c r="Z18" s="88"/>
      <c r="AA18" s="88"/>
      <c r="AB18" s="88" t="s">
        <v>350</v>
      </c>
      <c r="AC18" s="88" t="s">
        <v>351</v>
      </c>
      <c r="AD18" s="88"/>
      <c r="AE18" s="88"/>
      <c r="AF18" s="88"/>
      <c r="AG18" s="88"/>
      <c r="AH18" s="88"/>
      <c r="AI18" s="88"/>
      <c r="AJ18" s="88" t="s">
        <v>345</v>
      </c>
      <c r="AK18" s="88"/>
      <c r="AL18" s="88"/>
      <c r="AM18" s="88"/>
      <c r="AN18" s="88"/>
      <c r="AO18" s="88"/>
      <c r="AP18" s="88"/>
      <c r="AQ18" s="88"/>
      <c r="AR18" s="88"/>
      <c r="AS18" s="88"/>
      <c r="AT18" s="88"/>
      <c r="AU18" s="88"/>
      <c r="AV18" s="88"/>
      <c r="AW18" s="92" t="s">
        <v>274</v>
      </c>
      <c r="AX18" s="88"/>
      <c r="AY18" s="88"/>
      <c r="AZ18" s="88"/>
      <c r="BA18" s="88"/>
      <c r="BB18" s="88"/>
      <c r="BC18" s="88"/>
      <c r="BD18" s="88" t="s">
        <v>59</v>
      </c>
      <c r="BE18" s="88"/>
      <c r="BF18" s="95">
        <v>1.76</v>
      </c>
      <c r="BG18" s="88"/>
      <c r="BH18" s="88"/>
      <c r="BI18" s="88"/>
      <c r="BJ18" s="88"/>
      <c r="BK18" s="88"/>
      <c r="BL18" s="88"/>
      <c r="BM18" s="88"/>
      <c r="BN18" s="88" t="s">
        <v>274</v>
      </c>
      <c r="BO18" s="88"/>
      <c r="BP18" s="92" t="s">
        <v>276</v>
      </c>
      <c r="BQ18" s="88" t="s">
        <v>346</v>
      </c>
      <c r="BR18" s="92" t="s">
        <v>278</v>
      </c>
      <c r="BS18" s="88"/>
      <c r="BT18" s="88"/>
      <c r="BU18" s="88"/>
      <c r="BV18" s="88"/>
      <c r="BW18" s="88"/>
      <c r="BX18" s="88"/>
      <c r="BY18" s="88"/>
      <c r="BZ18" s="88"/>
      <c r="CA18" s="88"/>
      <c r="CB18" s="88">
        <v>63897</v>
      </c>
      <c r="CC18" s="88"/>
      <c r="CD18" s="88"/>
      <c r="CE18" s="88"/>
      <c r="CF18" s="88"/>
      <c r="CG18" s="88" t="s">
        <v>36</v>
      </c>
      <c r="CH18" s="88" t="s">
        <v>42</v>
      </c>
      <c r="CI18" s="88" t="s">
        <v>48</v>
      </c>
    </row>
    <row r="19" spans="1:87" ht="91.5" customHeight="1">
      <c r="A19" s="88" t="s">
        <v>264</v>
      </c>
      <c r="B19" s="89" t="s">
        <v>352</v>
      </c>
      <c r="C19" s="88" t="s">
        <v>353</v>
      </c>
      <c r="D19" s="90" t="s">
        <v>267</v>
      </c>
      <c r="E19" s="90" t="s">
        <v>77</v>
      </c>
      <c r="F19" s="88" t="s">
        <v>295</v>
      </c>
      <c r="G19" s="88" t="s">
        <v>269</v>
      </c>
      <c r="H19" s="88" t="s">
        <v>270</v>
      </c>
      <c r="I19" s="88" t="s">
        <v>270</v>
      </c>
      <c r="J19" s="88" t="s">
        <v>270</v>
      </c>
      <c r="K19" s="91">
        <v>42562.718055555553</v>
      </c>
      <c r="L19" s="88"/>
      <c r="M19" s="91">
        <v>42580.678472222222</v>
      </c>
      <c r="N19" s="91">
        <v>42580.406944444447</v>
      </c>
      <c r="O19" s="88" t="s">
        <v>336</v>
      </c>
      <c r="P19" s="88" t="s">
        <v>336</v>
      </c>
      <c r="Q19" s="88" t="s">
        <v>68</v>
      </c>
      <c r="R19" s="88"/>
      <c r="S19" s="88">
        <v>0</v>
      </c>
      <c r="T19" s="88">
        <v>1</v>
      </c>
      <c r="U19" s="88" t="s">
        <v>354</v>
      </c>
      <c r="V19" s="88"/>
      <c r="W19" s="88"/>
      <c r="X19" s="88"/>
      <c r="Y19" s="88"/>
      <c r="Z19" s="88"/>
      <c r="AA19" s="88"/>
      <c r="AB19" s="88" t="s">
        <v>288</v>
      </c>
      <c r="AC19" s="88" t="s">
        <v>355</v>
      </c>
      <c r="AD19" s="88"/>
      <c r="AE19" s="88"/>
      <c r="AF19" s="88"/>
      <c r="AG19" s="88"/>
      <c r="AH19" s="88"/>
      <c r="AI19" s="88"/>
      <c r="AJ19" s="88" t="s">
        <v>314</v>
      </c>
      <c r="AK19" s="88"/>
      <c r="AL19" s="88"/>
      <c r="AM19" s="88"/>
      <c r="AN19" s="88"/>
      <c r="AO19" s="88"/>
      <c r="AP19" s="88"/>
      <c r="AQ19" s="88"/>
      <c r="AR19" s="88"/>
      <c r="AS19" s="88"/>
      <c r="AT19" s="88"/>
      <c r="AU19" s="88"/>
      <c r="AV19" s="88"/>
      <c r="AW19" s="92" t="s">
        <v>274</v>
      </c>
      <c r="AX19" s="88"/>
      <c r="AY19" s="88"/>
      <c r="AZ19" s="88"/>
      <c r="BA19" s="88"/>
      <c r="BB19" s="88"/>
      <c r="BC19" s="88"/>
      <c r="BD19" s="88" t="s">
        <v>59</v>
      </c>
      <c r="BE19" s="88"/>
      <c r="BF19" s="95">
        <v>1.73</v>
      </c>
      <c r="BG19" s="88"/>
      <c r="BH19" s="88"/>
      <c r="BI19" s="88"/>
      <c r="BJ19" s="88"/>
      <c r="BK19" s="88"/>
      <c r="BL19" s="88"/>
      <c r="BM19" s="88"/>
      <c r="BN19" s="88" t="s">
        <v>274</v>
      </c>
      <c r="BO19" s="88"/>
      <c r="BP19" s="92" t="s">
        <v>276</v>
      </c>
      <c r="BQ19" s="88" t="s">
        <v>315</v>
      </c>
      <c r="BR19" s="92" t="s">
        <v>278</v>
      </c>
      <c r="BS19" s="88"/>
      <c r="BT19" s="88"/>
      <c r="BU19" s="88"/>
      <c r="BV19" s="88"/>
      <c r="BW19" s="88"/>
      <c r="BX19" s="88"/>
      <c r="BY19" s="88"/>
      <c r="BZ19" s="88"/>
      <c r="CA19" s="88"/>
      <c r="CB19" s="88">
        <v>64183</v>
      </c>
      <c r="CC19" s="88"/>
      <c r="CD19" s="88"/>
      <c r="CE19" s="88"/>
      <c r="CF19" s="88"/>
      <c r="CG19" s="88" t="s">
        <v>36</v>
      </c>
      <c r="CH19" s="88" t="s">
        <v>42</v>
      </c>
      <c r="CI19" s="88" t="s">
        <v>48</v>
      </c>
    </row>
    <row r="20" spans="1:87" ht="91.5" customHeight="1">
      <c r="A20" s="88" t="s">
        <v>264</v>
      </c>
      <c r="B20" s="89" t="s">
        <v>356</v>
      </c>
      <c r="C20" s="88" t="s">
        <v>357</v>
      </c>
      <c r="D20" s="90" t="s">
        <v>267</v>
      </c>
      <c r="E20" s="90" t="s">
        <v>77</v>
      </c>
      <c r="F20" s="88" t="s">
        <v>137</v>
      </c>
      <c r="G20" s="88" t="s">
        <v>269</v>
      </c>
      <c r="H20" s="88" t="s">
        <v>270</v>
      </c>
      <c r="I20" s="88" t="s">
        <v>270</v>
      </c>
      <c r="J20" s="88" t="s">
        <v>270</v>
      </c>
      <c r="K20" s="91">
        <v>42559.482638888891</v>
      </c>
      <c r="L20" s="88"/>
      <c r="M20" s="91">
        <v>42566.38958333333</v>
      </c>
      <c r="N20" s="91">
        <v>42565.724999999999</v>
      </c>
      <c r="O20" s="88" t="s">
        <v>336</v>
      </c>
      <c r="P20" s="88"/>
      <c r="Q20" s="88" t="s">
        <v>73</v>
      </c>
      <c r="R20" s="88"/>
      <c r="S20" s="88">
        <v>0</v>
      </c>
      <c r="T20" s="88">
        <v>1</v>
      </c>
      <c r="U20" s="92" t="s">
        <v>358</v>
      </c>
      <c r="V20" s="88"/>
      <c r="W20" s="88"/>
      <c r="X20" s="88"/>
      <c r="Y20" s="88"/>
      <c r="Z20" s="88"/>
      <c r="AA20" s="88"/>
      <c r="AB20" s="88" t="s">
        <v>359</v>
      </c>
      <c r="AC20" s="88" t="s">
        <v>360</v>
      </c>
      <c r="AD20" s="88"/>
      <c r="AE20" s="88"/>
      <c r="AF20" s="88"/>
      <c r="AG20" s="88"/>
      <c r="AH20" s="88"/>
      <c r="AI20" s="88"/>
      <c r="AJ20" s="88" t="s">
        <v>345</v>
      </c>
      <c r="AK20" s="88"/>
      <c r="AL20" s="88"/>
      <c r="AM20" s="88"/>
      <c r="AN20" s="88"/>
      <c r="AO20" s="88"/>
      <c r="AP20" s="88"/>
      <c r="AQ20" s="88"/>
      <c r="AR20" s="88"/>
      <c r="AS20" s="88"/>
      <c r="AT20" s="88"/>
      <c r="AU20" s="88"/>
      <c r="AV20" s="88"/>
      <c r="AW20" s="92" t="s">
        <v>274</v>
      </c>
      <c r="AX20" s="88"/>
      <c r="AY20" s="88"/>
      <c r="AZ20" s="88"/>
      <c r="BA20" s="88"/>
      <c r="BB20" s="88"/>
      <c r="BC20" s="88"/>
      <c r="BD20" s="88" t="s">
        <v>59</v>
      </c>
      <c r="BE20" s="88"/>
      <c r="BF20" s="95">
        <v>1.72</v>
      </c>
      <c r="BG20" s="88"/>
      <c r="BH20" s="88"/>
      <c r="BI20" s="88"/>
      <c r="BJ20" s="88"/>
      <c r="BK20" s="88"/>
      <c r="BL20" s="88"/>
      <c r="BM20" s="88"/>
      <c r="BN20" s="88" t="s">
        <v>274</v>
      </c>
      <c r="BO20" s="88"/>
      <c r="BP20" s="92" t="s">
        <v>276</v>
      </c>
      <c r="BQ20" s="88" t="s">
        <v>336</v>
      </c>
      <c r="BR20" s="92" t="s">
        <v>278</v>
      </c>
      <c r="BS20" s="88"/>
      <c r="BT20" s="88"/>
      <c r="BU20" s="88"/>
      <c r="BV20" s="88"/>
      <c r="BW20" s="88"/>
      <c r="BX20" s="88"/>
      <c r="BY20" s="88"/>
      <c r="BZ20" s="88"/>
      <c r="CA20" s="88"/>
      <c r="CB20" s="88">
        <v>80029</v>
      </c>
      <c r="CC20" s="88"/>
      <c r="CD20" s="88"/>
      <c r="CE20" s="88"/>
      <c r="CF20" s="88"/>
      <c r="CG20" s="88" t="s">
        <v>47</v>
      </c>
      <c r="CH20" s="88" t="s">
        <v>37</v>
      </c>
      <c r="CI20" s="88" t="s">
        <v>43</v>
      </c>
    </row>
    <row r="21" spans="1:87" ht="91.5" customHeight="1">
      <c r="A21" s="88" t="s">
        <v>264</v>
      </c>
      <c r="B21" s="89" t="s">
        <v>361</v>
      </c>
      <c r="C21" s="88" t="s">
        <v>362</v>
      </c>
      <c r="D21" s="90" t="s">
        <v>267</v>
      </c>
      <c r="E21" s="90" t="s">
        <v>77</v>
      </c>
      <c r="F21" s="88" t="s">
        <v>137</v>
      </c>
      <c r="G21" s="88" t="s">
        <v>269</v>
      </c>
      <c r="H21" s="88" t="s">
        <v>270</v>
      </c>
      <c r="I21" s="88" t="s">
        <v>270</v>
      </c>
      <c r="J21" s="88" t="s">
        <v>270</v>
      </c>
      <c r="K21" s="91">
        <v>42551.564583333333</v>
      </c>
      <c r="L21" s="88"/>
      <c r="M21" s="91">
        <v>42580.679861111108</v>
      </c>
      <c r="N21" s="91">
        <v>42577.402083333334</v>
      </c>
      <c r="O21" s="88"/>
      <c r="P21" s="88"/>
      <c r="Q21" s="88" t="s">
        <v>69</v>
      </c>
      <c r="R21" s="88"/>
      <c r="S21" s="88">
        <v>0</v>
      </c>
      <c r="T21" s="88">
        <v>1</v>
      </c>
      <c r="U21" s="92" t="s">
        <v>363</v>
      </c>
      <c r="V21" s="88"/>
      <c r="W21" s="88"/>
      <c r="X21" s="88"/>
      <c r="Y21" s="88"/>
      <c r="Z21" s="88"/>
      <c r="AA21" s="88"/>
      <c r="AB21" s="88" t="s">
        <v>364</v>
      </c>
      <c r="AC21" s="88" t="s">
        <v>365</v>
      </c>
      <c r="AD21" s="88"/>
      <c r="AE21" s="88"/>
      <c r="AF21" s="88"/>
      <c r="AG21" s="88"/>
      <c r="AH21" s="88"/>
      <c r="AI21" s="88"/>
      <c r="AJ21" s="88" t="s">
        <v>332</v>
      </c>
      <c r="AK21" s="88"/>
      <c r="AL21" s="88"/>
      <c r="AM21" s="88"/>
      <c r="AN21" s="88"/>
      <c r="AO21" s="88"/>
      <c r="AP21" s="88"/>
      <c r="AQ21" s="88"/>
      <c r="AR21" s="88"/>
      <c r="AS21" s="88"/>
      <c r="AT21" s="88"/>
      <c r="AU21" s="88"/>
      <c r="AV21" s="88"/>
      <c r="AW21" s="92" t="s">
        <v>274</v>
      </c>
      <c r="AX21" s="88"/>
      <c r="AY21" s="88"/>
      <c r="AZ21" s="88"/>
      <c r="BA21" s="88"/>
      <c r="BB21" s="88"/>
      <c r="BC21" s="88"/>
      <c r="BD21" s="88" t="s">
        <v>59</v>
      </c>
      <c r="BE21" s="88"/>
      <c r="BF21" s="95">
        <v>1.66</v>
      </c>
      <c r="BG21" s="88"/>
      <c r="BH21" s="88"/>
      <c r="BI21" s="88"/>
      <c r="BJ21" s="88"/>
      <c r="BK21" s="88"/>
      <c r="BL21" s="88"/>
      <c r="BM21" s="88"/>
      <c r="BN21" s="88" t="s">
        <v>274</v>
      </c>
      <c r="BO21" s="88"/>
      <c r="BP21" s="92" t="s">
        <v>276</v>
      </c>
      <c r="BQ21" s="88" t="s">
        <v>315</v>
      </c>
      <c r="BR21" s="92" t="s">
        <v>278</v>
      </c>
      <c r="BS21" s="88"/>
      <c r="BT21" s="88"/>
      <c r="BU21" s="88"/>
      <c r="BV21" s="88"/>
      <c r="BW21" s="88"/>
      <c r="BX21" s="88"/>
      <c r="BY21" s="88"/>
      <c r="BZ21" s="88"/>
      <c r="CA21" s="88"/>
      <c r="CB21" s="88">
        <v>79060</v>
      </c>
      <c r="CC21" s="88"/>
      <c r="CD21" s="88"/>
      <c r="CE21" s="88"/>
      <c r="CF21" s="88"/>
      <c r="CG21" s="88" t="s">
        <v>36</v>
      </c>
      <c r="CH21" s="88" t="s">
        <v>37</v>
      </c>
      <c r="CI21" s="88" t="s">
        <v>43</v>
      </c>
    </row>
    <row r="22" spans="1:87" ht="91.5" customHeight="1">
      <c r="A22" s="88" t="s">
        <v>264</v>
      </c>
      <c r="B22" s="89" t="s">
        <v>366</v>
      </c>
      <c r="C22" s="88" t="s">
        <v>367</v>
      </c>
      <c r="D22" s="90" t="s">
        <v>267</v>
      </c>
      <c r="E22" s="90" t="s">
        <v>77</v>
      </c>
      <c r="F22" s="88" t="s">
        <v>295</v>
      </c>
      <c r="G22" s="88" t="s">
        <v>269</v>
      </c>
      <c r="H22" s="88" t="s">
        <v>323</v>
      </c>
      <c r="I22" s="88" t="s">
        <v>270</v>
      </c>
      <c r="J22" s="88" t="s">
        <v>270</v>
      </c>
      <c r="K22" s="91">
        <v>42550.632638888892</v>
      </c>
      <c r="L22" s="88"/>
      <c r="M22" s="91">
        <v>42563.417361111111</v>
      </c>
      <c r="N22" s="91">
        <v>42562.459027777775</v>
      </c>
      <c r="O22" s="88"/>
      <c r="P22" s="88" t="s">
        <v>336</v>
      </c>
      <c r="Q22" s="88" t="s">
        <v>55</v>
      </c>
      <c r="R22" s="88"/>
      <c r="S22" s="88">
        <v>0</v>
      </c>
      <c r="T22" s="88">
        <v>2</v>
      </c>
      <c r="U22" s="88" t="s">
        <v>368</v>
      </c>
      <c r="V22" s="88"/>
      <c r="W22" s="88"/>
      <c r="X22" s="88"/>
      <c r="Y22" s="88"/>
      <c r="Z22" s="88"/>
      <c r="AA22" s="88"/>
      <c r="AB22" s="88" t="s">
        <v>369</v>
      </c>
      <c r="AC22" s="88" t="s">
        <v>370</v>
      </c>
      <c r="AD22" s="88"/>
      <c r="AE22" s="88"/>
      <c r="AF22" s="88"/>
      <c r="AG22" s="88"/>
      <c r="AH22" s="88"/>
      <c r="AI22" s="88"/>
      <c r="AJ22" s="88" t="s">
        <v>371</v>
      </c>
      <c r="AK22" s="88"/>
      <c r="AL22" s="88"/>
      <c r="AM22" s="88"/>
      <c r="AN22" s="88"/>
      <c r="AO22" s="88"/>
      <c r="AP22" s="88"/>
      <c r="AQ22" s="88"/>
      <c r="AR22" s="88"/>
      <c r="AS22" s="88"/>
      <c r="AT22" s="88"/>
      <c r="AU22" s="88"/>
      <c r="AV22" s="88"/>
      <c r="AW22" s="92" t="s">
        <v>274</v>
      </c>
      <c r="AX22" s="88"/>
      <c r="AY22" s="88"/>
      <c r="AZ22" s="88"/>
      <c r="BA22" s="88"/>
      <c r="BB22" s="88"/>
      <c r="BC22" s="88"/>
      <c r="BD22" s="88" t="s">
        <v>59</v>
      </c>
      <c r="BE22" s="88"/>
      <c r="BF22" s="95">
        <v>1.64</v>
      </c>
      <c r="BG22" s="88"/>
      <c r="BH22" s="88"/>
      <c r="BI22" s="88"/>
      <c r="BJ22" s="88"/>
      <c r="BK22" s="88"/>
      <c r="BL22" s="88"/>
      <c r="BM22" s="88"/>
      <c r="BN22" s="88" t="s">
        <v>274</v>
      </c>
      <c r="BO22" s="88"/>
      <c r="BP22" s="92" t="s">
        <v>276</v>
      </c>
      <c r="BQ22" s="88" t="s">
        <v>346</v>
      </c>
      <c r="BR22" s="92" t="s">
        <v>278</v>
      </c>
      <c r="BS22" s="88"/>
      <c r="BT22" s="88"/>
      <c r="BU22" s="88"/>
      <c r="BV22" s="88"/>
      <c r="BW22" s="88"/>
      <c r="BX22" s="88"/>
      <c r="BY22" s="88"/>
      <c r="BZ22" s="88"/>
      <c r="CA22" s="88"/>
      <c r="CB22" s="88">
        <v>63931</v>
      </c>
      <c r="CC22" s="88"/>
      <c r="CD22" s="88"/>
      <c r="CE22" s="88"/>
      <c r="CF22" s="88"/>
      <c r="CG22" s="88" t="s">
        <v>36</v>
      </c>
      <c r="CH22" s="88" t="s">
        <v>37</v>
      </c>
      <c r="CI22" s="88" t="s">
        <v>43</v>
      </c>
    </row>
    <row r="23" spans="1:87" ht="91.5" customHeight="1">
      <c r="A23" s="88" t="s">
        <v>264</v>
      </c>
      <c r="B23" s="89" t="s">
        <v>372</v>
      </c>
      <c r="C23" s="88" t="s">
        <v>373</v>
      </c>
      <c r="D23" s="90" t="s">
        <v>267</v>
      </c>
      <c r="E23" s="90" t="s">
        <v>77</v>
      </c>
      <c r="F23" s="88" t="s">
        <v>295</v>
      </c>
      <c r="G23" s="88" t="s">
        <v>269</v>
      </c>
      <c r="H23" s="88" t="s">
        <v>374</v>
      </c>
      <c r="I23" s="88" t="s">
        <v>270</v>
      </c>
      <c r="J23" s="88" t="s">
        <v>270</v>
      </c>
      <c r="K23" s="91">
        <v>42517.594444444447</v>
      </c>
      <c r="L23" s="88"/>
      <c r="M23" s="91">
        <v>42529.761805555558</v>
      </c>
      <c r="N23" s="91">
        <v>42529.761111111111</v>
      </c>
      <c r="O23" s="88"/>
      <c r="P23" s="88"/>
      <c r="Q23" s="88" t="s">
        <v>44</v>
      </c>
      <c r="R23" s="88"/>
      <c r="S23" s="88">
        <v>0</v>
      </c>
      <c r="T23" s="88">
        <v>2</v>
      </c>
      <c r="U23" s="92" t="s">
        <v>375</v>
      </c>
      <c r="V23" s="88"/>
      <c r="W23" s="88"/>
      <c r="X23" s="88"/>
      <c r="Y23" s="88"/>
      <c r="Z23" s="88" t="s">
        <v>376</v>
      </c>
      <c r="AA23" s="88"/>
      <c r="AB23" s="88" t="s">
        <v>377</v>
      </c>
      <c r="AC23" s="88" t="s">
        <v>378</v>
      </c>
      <c r="AD23" s="88"/>
      <c r="AE23" s="88"/>
      <c r="AF23" s="93">
        <v>1</v>
      </c>
      <c r="AG23" s="88">
        <v>14460</v>
      </c>
      <c r="AH23" s="88">
        <v>0</v>
      </c>
      <c r="AI23" s="88">
        <v>14400</v>
      </c>
      <c r="AJ23" s="88" t="s">
        <v>379</v>
      </c>
      <c r="AK23" s="88"/>
      <c r="AL23" s="88"/>
      <c r="AM23" s="88"/>
      <c r="AN23" s="88"/>
      <c r="AO23" s="88"/>
      <c r="AP23" s="88"/>
      <c r="AQ23" s="88"/>
      <c r="AR23" s="88"/>
      <c r="AS23" s="88"/>
      <c r="AT23" s="88"/>
      <c r="AU23" s="88"/>
      <c r="AV23" s="88"/>
      <c r="AW23" s="92" t="s">
        <v>274</v>
      </c>
      <c r="AX23" s="88"/>
      <c r="AY23" s="88"/>
      <c r="AZ23" s="88"/>
      <c r="BA23" s="88"/>
      <c r="BB23" s="88"/>
      <c r="BC23" s="88"/>
      <c r="BD23" s="88" t="s">
        <v>59</v>
      </c>
      <c r="BE23" s="88"/>
      <c r="BF23" s="95" t="s">
        <v>380</v>
      </c>
      <c r="BG23" s="88"/>
      <c r="BH23" s="88"/>
      <c r="BI23" s="88"/>
      <c r="BJ23" s="88"/>
      <c r="BK23" s="88"/>
      <c r="BL23" s="88"/>
      <c r="BM23" s="88"/>
      <c r="BN23" s="88" t="s">
        <v>274</v>
      </c>
      <c r="BO23" s="88"/>
      <c r="BP23" s="92" t="s">
        <v>276</v>
      </c>
      <c r="BQ23" s="88" t="s">
        <v>381</v>
      </c>
      <c r="BR23" s="92" t="s">
        <v>278</v>
      </c>
      <c r="BS23" s="88"/>
      <c r="BT23" s="88"/>
      <c r="BU23" s="88"/>
      <c r="BV23" s="88"/>
      <c r="BW23" s="88"/>
      <c r="BX23" s="88"/>
      <c r="BY23" s="88"/>
      <c r="BZ23" s="88"/>
      <c r="CA23" s="88"/>
      <c r="CB23" s="88">
        <v>63956</v>
      </c>
      <c r="CC23" s="88"/>
      <c r="CD23" s="88"/>
      <c r="CE23" s="88"/>
      <c r="CF23" s="88"/>
      <c r="CG23" s="88" t="s">
        <v>36</v>
      </c>
      <c r="CH23" s="88" t="s">
        <v>37</v>
      </c>
      <c r="CI23" s="88" t="s">
        <v>43</v>
      </c>
    </row>
    <row r="24" spans="1:87" ht="91.5" customHeight="1">
      <c r="A24" s="88" t="s">
        <v>264</v>
      </c>
      <c r="B24" s="89" t="s">
        <v>382</v>
      </c>
      <c r="C24" s="88" t="s">
        <v>383</v>
      </c>
      <c r="D24" s="90" t="s">
        <v>267</v>
      </c>
      <c r="E24" s="90" t="s">
        <v>77</v>
      </c>
      <c r="F24" s="88" t="s">
        <v>137</v>
      </c>
      <c r="G24" s="88" t="s">
        <v>269</v>
      </c>
      <c r="H24" s="88" t="s">
        <v>270</v>
      </c>
      <c r="I24" s="88" t="s">
        <v>270</v>
      </c>
      <c r="J24" s="88" t="s">
        <v>270</v>
      </c>
      <c r="K24" s="91">
        <v>42509.811805555553</v>
      </c>
      <c r="L24" s="88"/>
      <c r="M24" s="91">
        <v>42535.676388888889</v>
      </c>
      <c r="N24" s="91">
        <v>42534.673611111109</v>
      </c>
      <c r="O24" s="88" t="s">
        <v>384</v>
      </c>
      <c r="P24" s="88"/>
      <c r="Q24" s="88" t="s">
        <v>44</v>
      </c>
      <c r="R24" s="88"/>
      <c r="S24" s="88">
        <v>0</v>
      </c>
      <c r="T24" s="88">
        <v>2</v>
      </c>
      <c r="U24" s="92" t="s">
        <v>385</v>
      </c>
      <c r="V24" s="88"/>
      <c r="W24" s="88"/>
      <c r="X24" s="88"/>
      <c r="Y24" s="88"/>
      <c r="Z24" s="88" t="s">
        <v>386</v>
      </c>
      <c r="AA24" s="88"/>
      <c r="AB24" s="88" t="s">
        <v>369</v>
      </c>
      <c r="AC24" s="88" t="s">
        <v>387</v>
      </c>
      <c r="AD24" s="88"/>
      <c r="AE24" s="88"/>
      <c r="AF24" s="93">
        <v>0</v>
      </c>
      <c r="AG24" s="88"/>
      <c r="AH24" s="88">
        <v>1800</v>
      </c>
      <c r="AI24" s="88">
        <v>1800</v>
      </c>
      <c r="AJ24" s="88" t="s">
        <v>388</v>
      </c>
      <c r="AK24" s="88"/>
      <c r="AL24" s="88"/>
      <c r="AM24" s="88"/>
      <c r="AN24" s="88"/>
      <c r="AO24" s="88"/>
      <c r="AP24" s="88"/>
      <c r="AQ24" s="88"/>
      <c r="AR24" s="88"/>
      <c r="AS24" s="88"/>
      <c r="AT24" s="88"/>
      <c r="AU24" s="88"/>
      <c r="AV24" s="88"/>
      <c r="AW24" s="92" t="s">
        <v>274</v>
      </c>
      <c r="AX24" s="88"/>
      <c r="AY24" s="88"/>
      <c r="AZ24" s="88"/>
      <c r="BA24" s="88"/>
      <c r="BB24" s="88"/>
      <c r="BC24" s="88"/>
      <c r="BD24" s="88" t="s">
        <v>59</v>
      </c>
      <c r="BE24" s="88"/>
      <c r="BF24" s="95">
        <v>1.42</v>
      </c>
      <c r="BG24" s="88"/>
      <c r="BH24" s="88"/>
      <c r="BI24" s="88"/>
      <c r="BJ24" s="88"/>
      <c r="BK24" s="88"/>
      <c r="BL24" s="88"/>
      <c r="BM24" s="88"/>
      <c r="BN24" s="88" t="s">
        <v>274</v>
      </c>
      <c r="BO24" s="88"/>
      <c r="BP24" s="92" t="s">
        <v>276</v>
      </c>
      <c r="BQ24" s="88" t="s">
        <v>381</v>
      </c>
      <c r="BR24" s="92" t="s">
        <v>278</v>
      </c>
      <c r="BS24" s="88"/>
      <c r="BT24" s="88"/>
      <c r="BU24" s="88"/>
      <c r="BV24" s="88"/>
      <c r="BW24" s="88"/>
      <c r="BX24" s="88"/>
      <c r="BY24" s="88"/>
      <c r="BZ24" s="88"/>
      <c r="CA24" s="88"/>
      <c r="CB24" s="88">
        <v>63965</v>
      </c>
      <c r="CC24" s="88"/>
      <c r="CD24" s="88"/>
      <c r="CE24" s="88"/>
      <c r="CF24" s="88"/>
      <c r="CG24" s="88" t="s">
        <v>36</v>
      </c>
      <c r="CH24" s="88" t="s">
        <v>37</v>
      </c>
      <c r="CI24" s="88" t="s">
        <v>43</v>
      </c>
    </row>
    <row r="25" spans="1:87" ht="91.5" customHeight="1">
      <c r="A25" s="88" t="s">
        <v>264</v>
      </c>
      <c r="B25" s="89" t="s">
        <v>389</v>
      </c>
      <c r="C25" s="88" t="s">
        <v>390</v>
      </c>
      <c r="D25" s="90" t="s">
        <v>267</v>
      </c>
      <c r="E25" s="90" t="s">
        <v>77</v>
      </c>
      <c r="F25" s="88" t="s">
        <v>295</v>
      </c>
      <c r="G25" s="88" t="s">
        <v>269</v>
      </c>
      <c r="H25" s="88" t="s">
        <v>270</v>
      </c>
      <c r="I25" s="88" t="s">
        <v>270</v>
      </c>
      <c r="J25" s="88" t="s">
        <v>270</v>
      </c>
      <c r="K25" s="91">
        <v>42509.788194444445</v>
      </c>
      <c r="L25" s="88"/>
      <c r="M25" s="91">
        <v>42521.444444444445</v>
      </c>
      <c r="N25" s="91">
        <v>42520.60833333333</v>
      </c>
      <c r="O25" s="88" t="s">
        <v>391</v>
      </c>
      <c r="P25" s="88"/>
      <c r="Q25" s="88" t="s">
        <v>72</v>
      </c>
      <c r="R25" s="88"/>
      <c r="S25" s="88">
        <v>0</v>
      </c>
      <c r="T25" s="88">
        <v>1</v>
      </c>
      <c r="U25" s="92" t="s">
        <v>392</v>
      </c>
      <c r="V25" s="88"/>
      <c r="W25" s="88">
        <v>0</v>
      </c>
      <c r="X25" s="88">
        <v>9000</v>
      </c>
      <c r="Y25" s="88"/>
      <c r="Z25" s="88"/>
      <c r="AA25" s="88"/>
      <c r="AB25" s="88" t="s">
        <v>369</v>
      </c>
      <c r="AC25" s="88" t="s">
        <v>393</v>
      </c>
      <c r="AD25" s="88"/>
      <c r="AE25" s="93">
        <v>1</v>
      </c>
      <c r="AF25" s="93">
        <v>1</v>
      </c>
      <c r="AG25" s="88">
        <v>9000</v>
      </c>
      <c r="AH25" s="88">
        <v>0</v>
      </c>
      <c r="AI25" s="88"/>
      <c r="AJ25" s="88" t="s">
        <v>394</v>
      </c>
      <c r="AK25" s="88"/>
      <c r="AL25" s="88"/>
      <c r="AM25" s="88"/>
      <c r="AN25" s="88"/>
      <c r="AO25" s="88"/>
      <c r="AP25" s="88"/>
      <c r="AQ25" s="88"/>
      <c r="AR25" s="88"/>
      <c r="AS25" s="88"/>
      <c r="AT25" s="88"/>
      <c r="AU25" s="88"/>
      <c r="AV25" s="88"/>
      <c r="AW25" s="92" t="s">
        <v>274</v>
      </c>
      <c r="AX25" s="88"/>
      <c r="AY25" s="88"/>
      <c r="AZ25" s="88"/>
      <c r="BA25" s="88"/>
      <c r="BB25" s="88"/>
      <c r="BC25" s="88"/>
      <c r="BD25" s="88" t="s">
        <v>59</v>
      </c>
      <c r="BE25" s="88"/>
      <c r="BF25" s="95">
        <v>1.42</v>
      </c>
      <c r="BG25" s="88"/>
      <c r="BH25" s="88"/>
      <c r="BI25" s="88"/>
      <c r="BJ25" s="88"/>
      <c r="BK25" s="88"/>
      <c r="BL25" s="88"/>
      <c r="BM25" s="88"/>
      <c r="BN25" s="88" t="s">
        <v>274</v>
      </c>
      <c r="BO25" s="88"/>
      <c r="BP25" s="92" t="s">
        <v>276</v>
      </c>
      <c r="BQ25" s="88" t="s">
        <v>391</v>
      </c>
      <c r="BR25" s="92" t="s">
        <v>278</v>
      </c>
      <c r="BS25" s="88"/>
      <c r="BT25" s="88"/>
      <c r="BU25" s="88"/>
      <c r="BV25" s="88"/>
      <c r="BW25" s="88"/>
      <c r="BX25" s="88"/>
      <c r="BY25" s="88"/>
      <c r="BZ25" s="88"/>
      <c r="CA25" s="88"/>
      <c r="CB25" s="88">
        <v>74740</v>
      </c>
      <c r="CC25" s="88"/>
      <c r="CD25" s="88"/>
      <c r="CE25" s="88"/>
      <c r="CF25" s="88"/>
      <c r="CG25" s="88" t="s">
        <v>36</v>
      </c>
      <c r="CH25" s="88" t="s">
        <v>37</v>
      </c>
      <c r="CI25" s="88" t="s">
        <v>43</v>
      </c>
    </row>
    <row r="26" spans="1:87" ht="91.5" customHeight="1">
      <c r="A26" s="88" t="s">
        <v>264</v>
      </c>
      <c r="B26" s="89" t="s">
        <v>395</v>
      </c>
      <c r="C26" s="88" t="s">
        <v>396</v>
      </c>
      <c r="D26" s="90" t="s">
        <v>267</v>
      </c>
      <c r="E26" s="90" t="s">
        <v>77</v>
      </c>
      <c r="F26" s="88" t="s">
        <v>295</v>
      </c>
      <c r="G26" s="88" t="s">
        <v>269</v>
      </c>
      <c r="H26" s="88" t="s">
        <v>270</v>
      </c>
      <c r="I26" s="88" t="s">
        <v>270</v>
      </c>
      <c r="J26" s="88" t="s">
        <v>270</v>
      </c>
      <c r="K26" s="91">
        <v>42509.726388888892</v>
      </c>
      <c r="L26" s="88"/>
      <c r="M26" s="91">
        <v>42544.694444444445</v>
      </c>
      <c r="N26" s="91">
        <v>42544.694444444445</v>
      </c>
      <c r="O26" s="88" t="s">
        <v>391</v>
      </c>
      <c r="P26" s="88"/>
      <c r="Q26" s="88" t="s">
        <v>44</v>
      </c>
      <c r="R26" s="88"/>
      <c r="S26" s="88">
        <v>0</v>
      </c>
      <c r="T26" s="88">
        <v>2</v>
      </c>
      <c r="U26" s="88" t="s">
        <v>397</v>
      </c>
      <c r="V26" s="88"/>
      <c r="W26" s="88"/>
      <c r="X26" s="88"/>
      <c r="Y26" s="88"/>
      <c r="Z26" s="88" t="s">
        <v>398</v>
      </c>
      <c r="AA26" s="88"/>
      <c r="AB26" s="88" t="s">
        <v>369</v>
      </c>
      <c r="AC26" s="88" t="s">
        <v>399</v>
      </c>
      <c r="AD26" s="88"/>
      <c r="AE26" s="88"/>
      <c r="AF26" s="93">
        <v>1</v>
      </c>
      <c r="AG26" s="88">
        <v>23400</v>
      </c>
      <c r="AH26" s="88">
        <v>0</v>
      </c>
      <c r="AI26" s="88">
        <v>12600</v>
      </c>
      <c r="AJ26" s="88" t="s">
        <v>400</v>
      </c>
      <c r="AK26" s="88"/>
      <c r="AL26" s="88"/>
      <c r="AM26" s="88"/>
      <c r="AN26" s="88"/>
      <c r="AO26" s="88"/>
      <c r="AP26" s="88"/>
      <c r="AQ26" s="88"/>
      <c r="AR26" s="88"/>
      <c r="AS26" s="88"/>
      <c r="AT26" s="88"/>
      <c r="AU26" s="88"/>
      <c r="AV26" s="88"/>
      <c r="AW26" s="92" t="s">
        <v>274</v>
      </c>
      <c r="AX26" s="88"/>
      <c r="AY26" s="88"/>
      <c r="AZ26" s="88"/>
      <c r="BA26" s="88"/>
      <c r="BB26" s="88"/>
      <c r="BC26" s="88"/>
      <c r="BD26" s="88" t="s">
        <v>59</v>
      </c>
      <c r="BE26" s="88"/>
      <c r="BF26" s="95">
        <v>1.42</v>
      </c>
      <c r="BG26" s="88"/>
      <c r="BH26" s="88"/>
      <c r="BI26" s="88"/>
      <c r="BJ26" s="88"/>
      <c r="BK26" s="88"/>
      <c r="BL26" s="88"/>
      <c r="BM26" s="88"/>
      <c r="BN26" s="88" t="s">
        <v>274</v>
      </c>
      <c r="BO26" s="88"/>
      <c r="BP26" s="92" t="s">
        <v>276</v>
      </c>
      <c r="BQ26" s="88" t="s">
        <v>391</v>
      </c>
      <c r="BR26" s="92" t="s">
        <v>278</v>
      </c>
      <c r="BS26" s="88"/>
      <c r="BT26" s="88"/>
      <c r="BU26" s="88"/>
      <c r="BV26" s="88"/>
      <c r="BW26" s="88"/>
      <c r="BX26" s="88"/>
      <c r="BY26" s="88"/>
      <c r="BZ26" s="88"/>
      <c r="CA26" s="88"/>
      <c r="CB26" s="88">
        <v>74715</v>
      </c>
      <c r="CC26" s="88"/>
      <c r="CD26" s="88"/>
      <c r="CE26" s="88"/>
      <c r="CF26" s="88"/>
      <c r="CG26" s="88" t="s">
        <v>36</v>
      </c>
      <c r="CH26" s="88" t="s">
        <v>37</v>
      </c>
      <c r="CI26" s="88" t="s">
        <v>43</v>
      </c>
    </row>
    <row r="27" spans="1:87" ht="91.5" customHeight="1">
      <c r="A27" s="88" t="s">
        <v>264</v>
      </c>
      <c r="B27" s="89" t="s">
        <v>401</v>
      </c>
      <c r="C27" s="88" t="s">
        <v>402</v>
      </c>
      <c r="D27" s="90" t="s">
        <v>267</v>
      </c>
      <c r="E27" s="90" t="s">
        <v>77</v>
      </c>
      <c r="F27" s="88" t="s">
        <v>268</v>
      </c>
      <c r="G27" s="88" t="s">
        <v>269</v>
      </c>
      <c r="H27" s="88" t="s">
        <v>270</v>
      </c>
      <c r="I27" s="88" t="s">
        <v>270</v>
      </c>
      <c r="J27" s="88" t="s">
        <v>270</v>
      </c>
      <c r="K27" s="91">
        <v>42509.496527777781</v>
      </c>
      <c r="L27" s="88"/>
      <c r="M27" s="91">
        <v>42544.755555555559</v>
      </c>
      <c r="N27" s="91">
        <v>42509.829861111109</v>
      </c>
      <c r="O27" s="88" t="s">
        <v>384</v>
      </c>
      <c r="P27" s="88"/>
      <c r="Q27" s="88" t="s">
        <v>44</v>
      </c>
      <c r="R27" s="88"/>
      <c r="S27" s="88">
        <v>0</v>
      </c>
      <c r="T27" s="88">
        <v>1</v>
      </c>
      <c r="U27" s="92" t="s">
        <v>403</v>
      </c>
      <c r="V27" s="88"/>
      <c r="W27" s="88">
        <v>0</v>
      </c>
      <c r="X27" s="88">
        <v>900</v>
      </c>
      <c r="Y27" s="88"/>
      <c r="Z27" s="88"/>
      <c r="AA27" s="88"/>
      <c r="AB27" s="88" t="s">
        <v>369</v>
      </c>
      <c r="AC27" s="88" t="s">
        <v>404</v>
      </c>
      <c r="AD27" s="88"/>
      <c r="AE27" s="93">
        <v>1</v>
      </c>
      <c r="AF27" s="93">
        <v>1</v>
      </c>
      <c r="AG27" s="88">
        <v>900</v>
      </c>
      <c r="AH27" s="88">
        <v>0</v>
      </c>
      <c r="AI27" s="88"/>
      <c r="AJ27" s="88" t="s">
        <v>405</v>
      </c>
      <c r="AK27" s="88"/>
      <c r="AL27" s="88"/>
      <c r="AM27" s="88"/>
      <c r="AN27" s="88"/>
      <c r="AO27" s="88"/>
      <c r="AP27" s="88"/>
      <c r="AQ27" s="88"/>
      <c r="AR27" s="88"/>
      <c r="AS27" s="88"/>
      <c r="AT27" s="88"/>
      <c r="AU27" s="88"/>
      <c r="AV27" s="88"/>
      <c r="AW27" s="92" t="s">
        <v>274</v>
      </c>
      <c r="AX27" s="88"/>
      <c r="AY27" s="88"/>
      <c r="AZ27" s="88"/>
      <c r="BA27" s="88"/>
      <c r="BB27" s="88"/>
      <c r="BC27" s="88"/>
      <c r="BD27" s="88" t="s">
        <v>59</v>
      </c>
      <c r="BE27" s="88"/>
      <c r="BF27" s="95">
        <v>1.42</v>
      </c>
      <c r="BG27" s="88"/>
      <c r="BH27" s="88"/>
      <c r="BI27" s="88"/>
      <c r="BJ27" s="88"/>
      <c r="BK27" s="88"/>
      <c r="BL27" s="88"/>
      <c r="BM27" s="88"/>
      <c r="BN27" s="88" t="s">
        <v>274</v>
      </c>
      <c r="BO27" s="88"/>
      <c r="BP27" s="92" t="s">
        <v>276</v>
      </c>
      <c r="BQ27" s="88" t="s">
        <v>391</v>
      </c>
      <c r="BR27" s="92" t="s">
        <v>278</v>
      </c>
      <c r="BS27" s="88"/>
      <c r="BT27" s="88"/>
      <c r="BU27" s="88"/>
      <c r="BV27" s="88"/>
      <c r="BW27" s="88"/>
      <c r="BX27" s="88"/>
      <c r="BY27" s="88"/>
      <c r="BZ27" s="88"/>
      <c r="CA27" s="88"/>
      <c r="CB27" s="88">
        <v>74649</v>
      </c>
      <c r="CC27" s="88"/>
      <c r="CD27" s="88"/>
      <c r="CE27" s="88"/>
      <c r="CF27" s="88"/>
      <c r="CG27" s="88" t="s">
        <v>36</v>
      </c>
      <c r="CH27" s="88" t="s">
        <v>37</v>
      </c>
      <c r="CI27" s="88" t="s">
        <v>43</v>
      </c>
    </row>
    <row r="28" spans="1:87" ht="91.5" customHeight="1">
      <c r="A28" s="88" t="s">
        <v>264</v>
      </c>
      <c r="B28" s="89" t="s">
        <v>406</v>
      </c>
      <c r="C28" s="88" t="s">
        <v>407</v>
      </c>
      <c r="D28" s="90" t="s">
        <v>267</v>
      </c>
      <c r="E28" s="90" t="s">
        <v>77</v>
      </c>
      <c r="F28" s="88" t="s">
        <v>137</v>
      </c>
      <c r="G28" s="88" t="s">
        <v>269</v>
      </c>
      <c r="H28" s="88" t="s">
        <v>270</v>
      </c>
      <c r="I28" s="88" t="s">
        <v>270</v>
      </c>
      <c r="J28" s="88" t="s">
        <v>270</v>
      </c>
      <c r="K28" s="91">
        <v>42509.47152777778</v>
      </c>
      <c r="L28" s="88"/>
      <c r="M28" s="91">
        <v>42544.754861111112</v>
      </c>
      <c r="N28" s="91">
        <v>42515.631944444445</v>
      </c>
      <c r="O28" s="88" t="s">
        <v>384</v>
      </c>
      <c r="P28" s="88"/>
      <c r="Q28" s="88" t="s">
        <v>44</v>
      </c>
      <c r="R28" s="88"/>
      <c r="S28" s="88">
        <v>0</v>
      </c>
      <c r="T28" s="88">
        <v>2</v>
      </c>
      <c r="U28" s="92" t="s">
        <v>408</v>
      </c>
      <c r="V28" s="88"/>
      <c r="W28" s="88">
        <v>0</v>
      </c>
      <c r="X28" s="88">
        <v>900</v>
      </c>
      <c r="Y28" s="88"/>
      <c r="Z28" s="88"/>
      <c r="AA28" s="88"/>
      <c r="AB28" s="88" t="s">
        <v>369</v>
      </c>
      <c r="AC28" s="88" t="s">
        <v>409</v>
      </c>
      <c r="AD28" s="88"/>
      <c r="AE28" s="93">
        <v>1</v>
      </c>
      <c r="AF28" s="93">
        <v>1</v>
      </c>
      <c r="AG28" s="88">
        <v>900</v>
      </c>
      <c r="AH28" s="88">
        <v>0</v>
      </c>
      <c r="AI28" s="88"/>
      <c r="AJ28" s="88" t="s">
        <v>405</v>
      </c>
      <c r="AK28" s="88"/>
      <c r="AL28" s="88"/>
      <c r="AM28" s="88"/>
      <c r="AN28" s="88"/>
      <c r="AO28" s="88"/>
      <c r="AP28" s="88"/>
      <c r="AQ28" s="88"/>
      <c r="AR28" s="88"/>
      <c r="AS28" s="88"/>
      <c r="AT28" s="88"/>
      <c r="AU28" s="88"/>
      <c r="AV28" s="88"/>
      <c r="AW28" s="92" t="s">
        <v>274</v>
      </c>
      <c r="AX28" s="88"/>
      <c r="AY28" s="88"/>
      <c r="AZ28" s="88"/>
      <c r="BA28" s="88"/>
      <c r="BB28" s="88"/>
      <c r="BC28" s="88"/>
      <c r="BD28" s="88" t="s">
        <v>59</v>
      </c>
      <c r="BE28" s="88"/>
      <c r="BF28" s="95">
        <v>1.42</v>
      </c>
      <c r="BG28" s="88"/>
      <c r="BH28" s="88"/>
      <c r="BI28" s="88"/>
      <c r="BJ28" s="88"/>
      <c r="BK28" s="88"/>
      <c r="BL28" s="88"/>
      <c r="BM28" s="88"/>
      <c r="BN28" s="88" t="s">
        <v>274</v>
      </c>
      <c r="BO28" s="88"/>
      <c r="BP28" s="92" t="s">
        <v>276</v>
      </c>
      <c r="BQ28" s="88" t="s">
        <v>391</v>
      </c>
      <c r="BR28" s="92" t="s">
        <v>278</v>
      </c>
      <c r="BS28" s="88"/>
      <c r="BT28" s="88"/>
      <c r="BU28" s="88"/>
      <c r="BV28" s="88"/>
      <c r="BW28" s="88"/>
      <c r="BX28" s="88"/>
      <c r="BY28" s="88"/>
      <c r="BZ28" s="88"/>
      <c r="CA28" s="88"/>
      <c r="CB28" s="88">
        <v>74640</v>
      </c>
      <c r="CC28" s="88"/>
      <c r="CD28" s="88"/>
      <c r="CE28" s="88"/>
      <c r="CF28" s="88"/>
      <c r="CG28" s="88" t="s">
        <v>36</v>
      </c>
      <c r="CH28" s="88" t="s">
        <v>37</v>
      </c>
      <c r="CI28" s="88" t="s">
        <v>43</v>
      </c>
    </row>
    <row r="29" spans="1:87" ht="91.5" customHeight="1">
      <c r="A29" s="88" t="s">
        <v>264</v>
      </c>
      <c r="B29" s="89" t="s">
        <v>410</v>
      </c>
      <c r="C29" s="88" t="s">
        <v>411</v>
      </c>
      <c r="D29" s="90" t="s">
        <v>267</v>
      </c>
      <c r="E29" s="90" t="s">
        <v>77</v>
      </c>
      <c r="F29" s="88" t="s">
        <v>295</v>
      </c>
      <c r="G29" s="88" t="s">
        <v>269</v>
      </c>
      <c r="H29" s="88" t="s">
        <v>374</v>
      </c>
      <c r="I29" s="88" t="s">
        <v>412</v>
      </c>
      <c r="J29" s="88" t="s">
        <v>412</v>
      </c>
      <c r="K29" s="91">
        <v>42507.806944444441</v>
      </c>
      <c r="L29" s="88"/>
      <c r="M29" s="91">
        <v>42540.57916666667</v>
      </c>
      <c r="N29" s="91">
        <v>42528.744444444441</v>
      </c>
      <c r="O29" s="88" t="s">
        <v>381</v>
      </c>
      <c r="P29" s="88"/>
      <c r="Q29" s="88" t="s">
        <v>70</v>
      </c>
      <c r="R29" s="88"/>
      <c r="S29" s="88">
        <v>0</v>
      </c>
      <c r="T29" s="88">
        <v>3</v>
      </c>
      <c r="U29" s="92" t="s">
        <v>413</v>
      </c>
      <c r="V29" s="88"/>
      <c r="W29" s="88"/>
      <c r="X29" s="88"/>
      <c r="Y29" s="88"/>
      <c r="Z29" s="88" t="s">
        <v>414</v>
      </c>
      <c r="AA29" s="88" t="s">
        <v>415</v>
      </c>
      <c r="AB29" s="88" t="s">
        <v>416</v>
      </c>
      <c r="AC29" s="88" t="s">
        <v>417</v>
      </c>
      <c r="AD29" s="88"/>
      <c r="AE29" s="88"/>
      <c r="AF29" s="93">
        <v>1</v>
      </c>
      <c r="AG29" s="88">
        <v>3600</v>
      </c>
      <c r="AH29" s="88">
        <v>0</v>
      </c>
      <c r="AI29" s="88">
        <v>3600</v>
      </c>
      <c r="AJ29" s="88" t="s">
        <v>379</v>
      </c>
      <c r="AK29" s="88"/>
      <c r="AL29" s="88"/>
      <c r="AM29" s="88"/>
      <c r="AN29" s="88"/>
      <c r="AO29" s="88"/>
      <c r="AP29" s="88"/>
      <c r="AQ29" s="88"/>
      <c r="AR29" s="88"/>
      <c r="AS29" s="88"/>
      <c r="AT29" s="88"/>
      <c r="AU29" s="88"/>
      <c r="AV29" s="88"/>
      <c r="AW29" s="92" t="s">
        <v>274</v>
      </c>
      <c r="AX29" s="88"/>
      <c r="AY29" s="88"/>
      <c r="AZ29" s="88"/>
      <c r="BA29" s="88"/>
      <c r="BB29" s="88"/>
      <c r="BC29" s="88"/>
      <c r="BD29" s="88" t="s">
        <v>59</v>
      </c>
      <c r="BE29" s="88"/>
      <c r="BF29" s="95">
        <v>1.41</v>
      </c>
      <c r="BG29" s="88"/>
      <c r="BH29" s="88"/>
      <c r="BI29" s="88"/>
      <c r="BJ29" s="88"/>
      <c r="BK29" s="88"/>
      <c r="BL29" s="88"/>
      <c r="BM29" s="88"/>
      <c r="BN29" s="88" t="s">
        <v>274</v>
      </c>
      <c r="BO29" s="88"/>
      <c r="BP29" s="92" t="s">
        <v>276</v>
      </c>
      <c r="BQ29" s="88" t="s">
        <v>381</v>
      </c>
      <c r="BR29" s="92" t="s">
        <v>278</v>
      </c>
      <c r="BS29" s="88"/>
      <c r="BT29" s="88"/>
      <c r="BU29" s="88"/>
      <c r="BV29" s="88"/>
      <c r="BW29" s="88"/>
      <c r="BX29" s="88"/>
      <c r="BY29" s="88"/>
      <c r="BZ29" s="88"/>
      <c r="CA29" s="88"/>
      <c r="CB29" s="88">
        <v>63955</v>
      </c>
      <c r="CC29" s="88"/>
      <c r="CD29" s="88"/>
      <c r="CE29" s="88"/>
      <c r="CF29" s="88"/>
      <c r="CG29" s="88" t="s">
        <v>36</v>
      </c>
      <c r="CH29" s="88" t="s">
        <v>37</v>
      </c>
      <c r="CI29" s="88" t="s">
        <v>43</v>
      </c>
    </row>
    <row r="30" spans="1:87" ht="91.5" customHeight="1">
      <c r="A30" s="88" t="s">
        <v>264</v>
      </c>
      <c r="B30" s="89" t="s">
        <v>418</v>
      </c>
      <c r="C30" s="88" t="s">
        <v>419</v>
      </c>
      <c r="D30" s="90" t="s">
        <v>267</v>
      </c>
      <c r="E30" s="90" t="s">
        <v>77</v>
      </c>
      <c r="F30" s="88" t="s">
        <v>420</v>
      </c>
      <c r="G30" s="88" t="s">
        <v>269</v>
      </c>
      <c r="H30" s="88" t="s">
        <v>270</v>
      </c>
      <c r="I30" s="88" t="s">
        <v>270</v>
      </c>
      <c r="J30" s="88" t="s">
        <v>270</v>
      </c>
      <c r="K30" s="91">
        <v>42507.788888888892</v>
      </c>
      <c r="L30" s="88"/>
      <c r="M30" s="91">
        <v>42544.753472222219</v>
      </c>
      <c r="N30" s="91">
        <v>42520.408333333333</v>
      </c>
      <c r="O30" s="88" t="s">
        <v>384</v>
      </c>
      <c r="P30" s="88"/>
      <c r="Q30" s="88" t="s">
        <v>66</v>
      </c>
      <c r="R30" s="88"/>
      <c r="S30" s="88">
        <v>0</v>
      </c>
      <c r="T30" s="88">
        <v>1</v>
      </c>
      <c r="U30" s="92" t="s">
        <v>421</v>
      </c>
      <c r="V30" s="88"/>
      <c r="W30" s="88">
        <v>0</v>
      </c>
      <c r="X30" s="88">
        <v>1800</v>
      </c>
      <c r="Y30" s="88"/>
      <c r="Z30" s="88"/>
      <c r="AA30" s="88"/>
      <c r="AB30" s="88" t="s">
        <v>422</v>
      </c>
      <c r="AC30" s="88" t="s">
        <v>423</v>
      </c>
      <c r="AD30" s="88"/>
      <c r="AE30" s="93">
        <v>1</v>
      </c>
      <c r="AF30" s="93">
        <v>1</v>
      </c>
      <c r="AG30" s="88">
        <v>1800</v>
      </c>
      <c r="AH30" s="88">
        <v>0</v>
      </c>
      <c r="AI30" s="88"/>
      <c r="AJ30" s="88" t="s">
        <v>394</v>
      </c>
      <c r="AK30" s="88"/>
      <c r="AL30" s="88"/>
      <c r="AM30" s="88"/>
      <c r="AN30" s="88"/>
      <c r="AO30" s="88"/>
      <c r="AP30" s="88"/>
      <c r="AQ30" s="88"/>
      <c r="AR30" s="88"/>
      <c r="AS30" s="88"/>
      <c r="AT30" s="88"/>
      <c r="AU30" s="88"/>
      <c r="AV30" s="88"/>
      <c r="AW30" s="92" t="s">
        <v>274</v>
      </c>
      <c r="AX30" s="88"/>
      <c r="AY30" s="88"/>
      <c r="AZ30" s="88"/>
      <c r="BA30" s="88"/>
      <c r="BB30" s="88"/>
      <c r="BC30" s="88"/>
      <c r="BD30" s="88" t="s">
        <v>59</v>
      </c>
      <c r="BE30" s="88"/>
      <c r="BF30" s="95">
        <v>1.41</v>
      </c>
      <c r="BG30" s="88"/>
      <c r="BH30" s="88"/>
      <c r="BI30" s="88"/>
      <c r="BJ30" s="88"/>
      <c r="BK30" s="88"/>
      <c r="BL30" s="88"/>
      <c r="BM30" s="88"/>
      <c r="BN30" s="88" t="s">
        <v>274</v>
      </c>
      <c r="BO30" s="88"/>
      <c r="BP30" s="92" t="s">
        <v>276</v>
      </c>
      <c r="BQ30" s="88" t="s">
        <v>391</v>
      </c>
      <c r="BR30" s="92" t="s">
        <v>278</v>
      </c>
      <c r="BS30" s="88"/>
      <c r="BT30" s="88"/>
      <c r="BU30" s="88"/>
      <c r="BV30" s="88"/>
      <c r="BW30" s="88"/>
      <c r="BX30" s="88"/>
      <c r="BY30" s="88"/>
      <c r="BZ30" s="88"/>
      <c r="CA30" s="88"/>
      <c r="CB30" s="88">
        <v>74471</v>
      </c>
      <c r="CC30" s="88"/>
      <c r="CD30" s="88"/>
      <c r="CE30" s="88"/>
      <c r="CF30" s="88"/>
      <c r="CG30" s="88" t="s">
        <v>36</v>
      </c>
      <c r="CH30" s="88" t="s">
        <v>37</v>
      </c>
      <c r="CI30" s="88" t="s">
        <v>43</v>
      </c>
    </row>
    <row r="31" spans="1:87" ht="91.5" customHeight="1">
      <c r="A31" s="88" t="s">
        <v>264</v>
      </c>
      <c r="B31" s="89" t="s">
        <v>424</v>
      </c>
      <c r="C31" s="88" t="s">
        <v>425</v>
      </c>
      <c r="D31" s="90" t="s">
        <v>267</v>
      </c>
      <c r="E31" s="90" t="s">
        <v>77</v>
      </c>
      <c r="F31" s="88" t="s">
        <v>295</v>
      </c>
      <c r="G31" s="88" t="s">
        <v>269</v>
      </c>
      <c r="H31" s="88" t="s">
        <v>270</v>
      </c>
      <c r="I31" s="88" t="s">
        <v>426</v>
      </c>
      <c r="J31" s="88" t="s">
        <v>426</v>
      </c>
      <c r="K31" s="91">
        <v>42444.638888888891</v>
      </c>
      <c r="L31" s="88"/>
      <c r="M31" s="91">
        <v>42566.455555555556</v>
      </c>
      <c r="N31" s="91">
        <v>42566.454861111109</v>
      </c>
      <c r="O31" s="88"/>
      <c r="P31" s="88"/>
      <c r="Q31" s="88" t="s">
        <v>64</v>
      </c>
      <c r="R31" s="88"/>
      <c r="S31" s="88">
        <v>0</v>
      </c>
      <c r="T31" s="88">
        <v>5</v>
      </c>
      <c r="U31" s="88"/>
      <c r="V31" s="88"/>
      <c r="W31" s="88"/>
      <c r="X31" s="88"/>
      <c r="Y31" s="88"/>
      <c r="Z31" s="88"/>
      <c r="AA31" s="88"/>
      <c r="AB31" s="88"/>
      <c r="AC31" s="88" t="s">
        <v>427</v>
      </c>
      <c r="AD31" s="88"/>
      <c r="AE31" s="88"/>
      <c r="AF31" s="88"/>
      <c r="AG31" s="88"/>
      <c r="AH31" s="88"/>
      <c r="AI31" s="88"/>
      <c r="AJ31" s="88"/>
      <c r="AK31" s="88"/>
      <c r="AL31" s="88"/>
      <c r="AM31" s="88"/>
      <c r="AN31" s="88"/>
      <c r="AO31" s="88"/>
      <c r="AP31" s="88"/>
      <c r="AQ31" s="88"/>
      <c r="AR31" s="88"/>
      <c r="AS31" s="88"/>
      <c r="AT31" s="88"/>
      <c r="AU31" s="88"/>
      <c r="AV31" s="88"/>
      <c r="AW31" s="92" t="s">
        <v>274</v>
      </c>
      <c r="AX31" s="88"/>
      <c r="AY31" s="88"/>
      <c r="AZ31" s="88"/>
      <c r="BA31" s="88"/>
      <c r="BB31" s="88"/>
      <c r="BC31" s="88"/>
      <c r="BD31" s="88" t="s">
        <v>59</v>
      </c>
      <c r="BE31" s="88"/>
      <c r="BF31" s="88" t="s">
        <v>380</v>
      </c>
      <c r="BG31" s="88"/>
      <c r="BH31" s="88"/>
      <c r="BI31" s="88"/>
      <c r="BJ31" s="88"/>
      <c r="BK31" s="88"/>
      <c r="BL31" s="88"/>
      <c r="BM31" s="88"/>
      <c r="BN31" s="88" t="s">
        <v>274</v>
      </c>
      <c r="BO31" s="88"/>
      <c r="BP31" s="92" t="s">
        <v>276</v>
      </c>
      <c r="BQ31" s="88" t="s">
        <v>346</v>
      </c>
      <c r="BR31" s="92" t="s">
        <v>278</v>
      </c>
      <c r="BS31" s="88"/>
      <c r="BT31" s="88"/>
      <c r="BU31" s="88"/>
      <c r="BV31" s="88"/>
      <c r="BW31" s="88"/>
      <c r="BX31" s="88"/>
      <c r="BY31" s="88"/>
      <c r="BZ31" s="88"/>
      <c r="CA31" s="88"/>
      <c r="CB31" s="88">
        <v>64758</v>
      </c>
      <c r="CC31" s="88"/>
      <c r="CD31" s="88"/>
      <c r="CE31" s="88"/>
      <c r="CF31" s="88"/>
      <c r="CG31" s="88" t="s">
        <v>65</v>
      </c>
      <c r="CH31" s="88" t="s">
        <v>37</v>
      </c>
      <c r="CI31" s="88" t="s">
        <v>43</v>
      </c>
    </row>
    <row r="32" spans="1:87" ht="91.5" customHeight="1">
      <c r="A32" s="88" t="s">
        <v>264</v>
      </c>
      <c r="B32" s="89" t="s">
        <v>428</v>
      </c>
      <c r="C32" s="88" t="s">
        <v>429</v>
      </c>
      <c r="D32" s="90" t="s">
        <v>267</v>
      </c>
      <c r="E32" s="90" t="s">
        <v>430</v>
      </c>
      <c r="F32" s="88" t="s">
        <v>420</v>
      </c>
      <c r="G32" s="88" t="s">
        <v>269</v>
      </c>
      <c r="H32" s="88" t="s">
        <v>431</v>
      </c>
      <c r="I32" s="88" t="s">
        <v>431</v>
      </c>
      <c r="J32" s="88" t="s">
        <v>431</v>
      </c>
      <c r="K32" s="91">
        <v>42444.631249999999</v>
      </c>
      <c r="L32" s="88"/>
      <c r="M32" s="91">
        <v>42444.718055555553</v>
      </c>
      <c r="N32" s="91">
        <v>42444.718055555553</v>
      </c>
      <c r="O32" s="88"/>
      <c r="P32" s="88"/>
      <c r="Q32" s="88" t="s">
        <v>68</v>
      </c>
      <c r="R32" s="88"/>
      <c r="S32" s="88">
        <v>0</v>
      </c>
      <c r="T32" s="88">
        <v>3</v>
      </c>
      <c r="U32" s="88"/>
      <c r="V32" s="88"/>
      <c r="W32" s="88"/>
      <c r="X32" s="88"/>
      <c r="Y32" s="88"/>
      <c r="Z32" s="88"/>
      <c r="AA32" s="88"/>
      <c r="AB32" s="88"/>
      <c r="AC32" s="88" t="s">
        <v>432</v>
      </c>
      <c r="AD32" s="88"/>
      <c r="AE32" s="88"/>
      <c r="AF32" s="88"/>
      <c r="AG32" s="88"/>
      <c r="AH32" s="88"/>
      <c r="AI32" s="88"/>
      <c r="AJ32" s="88"/>
      <c r="AK32" s="88"/>
      <c r="AL32" s="88"/>
      <c r="AM32" s="88"/>
      <c r="AN32" s="88"/>
      <c r="AO32" s="88"/>
      <c r="AP32" s="88"/>
      <c r="AQ32" s="88"/>
      <c r="AR32" s="88"/>
      <c r="AS32" s="88"/>
      <c r="AT32" s="88"/>
      <c r="AU32" s="88"/>
      <c r="AV32" s="88"/>
      <c r="AW32" s="92" t="s">
        <v>274</v>
      </c>
      <c r="AX32" s="88"/>
      <c r="AY32" s="88"/>
      <c r="AZ32" s="88"/>
      <c r="BA32" s="88"/>
      <c r="BB32" s="88"/>
      <c r="BC32" s="88"/>
      <c r="BD32" s="88" t="s">
        <v>59</v>
      </c>
      <c r="BE32" s="88"/>
      <c r="BF32" s="88" t="s">
        <v>380</v>
      </c>
      <c r="BG32" s="88"/>
      <c r="BH32" s="88"/>
      <c r="BI32" s="88"/>
      <c r="BJ32" s="88" t="s">
        <v>139</v>
      </c>
      <c r="BK32" s="88"/>
      <c r="BL32" s="88"/>
      <c r="BM32" s="88"/>
      <c r="BN32" s="88" t="s">
        <v>274</v>
      </c>
      <c r="BO32" s="88"/>
      <c r="BP32" s="92" t="s">
        <v>276</v>
      </c>
      <c r="BQ32" s="88" t="s">
        <v>346</v>
      </c>
      <c r="BR32" s="88"/>
      <c r="BS32" s="88"/>
      <c r="BT32" s="88"/>
      <c r="BU32" s="88"/>
      <c r="BV32" s="88"/>
      <c r="BW32" s="88"/>
      <c r="BX32" s="88"/>
      <c r="BY32" s="88"/>
      <c r="BZ32" s="88"/>
      <c r="CA32" s="88"/>
      <c r="CB32" s="88">
        <v>64753</v>
      </c>
      <c r="CC32" s="88"/>
      <c r="CD32" s="88"/>
      <c r="CE32" s="88"/>
      <c r="CF32" s="88"/>
      <c r="CG32" s="88" t="s">
        <v>36</v>
      </c>
      <c r="CH32" s="88" t="s">
        <v>42</v>
      </c>
      <c r="CI32" s="88" t="s">
        <v>48</v>
      </c>
    </row>
  </sheetData>
  <mergeCells count="3">
    <mergeCell ref="A1:CF1"/>
    <mergeCell ref="A2:CF2"/>
    <mergeCell ref="A3:CF3"/>
  </mergeCells>
  <hyperlinks>
    <hyperlink ref="A2" r:id="rId1" display="https://jira.harveynash.vn/secure/IssueNavigator.jspa?reset=true&amp;jqlQuery=project+in+%28SPD%2C+SD10001236%29+AND+issuetype+%3D+Bug"/>
    <hyperlink ref="B5" r:id="rId2" display="https://jira.harveynash.vn/browse/SD10001236-918"/>
    <hyperlink ref="U5" r:id="rId3" display="https://jira.harveynash.vn/secure/attachment/46985/_thumb_46985.png"/>
    <hyperlink ref="AW5" r:id="rId4"/>
    <hyperlink ref="BP5" r:id="rId5" display="C:\browse\$value.get(0)"/>
    <hyperlink ref="BR5" r:id="rId6" display="https://jira.harveynash.vn/browse/SD10001236-379"/>
    <hyperlink ref="B6" r:id="rId7" display="https://jira.harveynash.vn/browse/SD10001236-840"/>
    <hyperlink ref="U6" r:id="rId8" display="https://jira.harveynash.vn/secure/attachment/46549/_thumb_46549.png"/>
    <hyperlink ref="AW6" r:id="rId9"/>
    <hyperlink ref="BP6" r:id="rId10" display="C:\browse\$value.get(0)"/>
    <hyperlink ref="BR6" r:id="rId11" display="https://jira.harveynash.vn/browse/SD10001236-379"/>
    <hyperlink ref="B7" r:id="rId12" display="https://jira.harveynash.vn/browse/SD10001236-820"/>
    <hyperlink ref="U7" r:id="rId13" display="https://jira.harveynash.vn/secure/attachment/46241/_thumb_46241.png"/>
    <hyperlink ref="AW7" r:id="rId14"/>
    <hyperlink ref="BP7" r:id="rId15" display="C:\browse\$value.get(0)"/>
    <hyperlink ref="B8" r:id="rId16" display="https://jira.harveynash.vn/browse/SD10001236-784"/>
    <hyperlink ref="U8" r:id="rId17" display="https://jira.harveynash.vn/secure/attachment/45457/_thumb_45457.png"/>
    <hyperlink ref="AW8" r:id="rId18"/>
    <hyperlink ref="BP8" r:id="rId19" display="C:\browse\$value.get(0)"/>
    <hyperlink ref="BR8" r:id="rId20" display="https://jira.harveynash.vn/browse/SD10001236-379"/>
    <hyperlink ref="B9" r:id="rId21" display="https://jira.harveynash.vn/browse/SD10001236-783"/>
    <hyperlink ref="U9" r:id="rId22" display="https://jira.harveynash.vn/secure/attachment/45455/_thumb_45455.png"/>
    <hyperlink ref="AW9" r:id="rId23"/>
    <hyperlink ref="BP9" r:id="rId24" display="C:\browse\$value.get(0)"/>
    <hyperlink ref="BR9" r:id="rId25" display="https://jira.harveynash.vn/browse/SD10001236-379"/>
    <hyperlink ref="B10" r:id="rId26" display="https://jira.harveynash.vn/browse/SD10001236-782"/>
    <hyperlink ref="U10" r:id="rId27" display="https://jira.harveynash.vn/secure/attachment/45453/_thumb_45453.png"/>
    <hyperlink ref="AW10" r:id="rId28"/>
    <hyperlink ref="BP10" r:id="rId29" display="C:\browse\$value.get(0)"/>
    <hyperlink ref="BR10" r:id="rId30" display="https://jira.harveynash.vn/browse/SD10001236-379"/>
    <hyperlink ref="B11" r:id="rId31" display="https://jira.harveynash.vn/browse/SD10001236-755"/>
    <hyperlink ref="U11" r:id="rId32" display="https://jira.harveynash.vn/secure/attachment/45301/_thumb_45301.png"/>
    <hyperlink ref="AW11" r:id="rId33"/>
    <hyperlink ref="BP11" r:id="rId34" display="C:\browse\$value.get(0)"/>
    <hyperlink ref="BR11" r:id="rId35" display="https://jira.harveynash.vn/browse/SD10001236-379"/>
    <hyperlink ref="B12" r:id="rId36" display="https://jira.harveynash.vn/browse/SD10001236-752"/>
    <hyperlink ref="U12" r:id="rId37" display="https://jira.harveynash.vn/secure/attachment/45216/_thumb_45216.png"/>
    <hyperlink ref="AW12" r:id="rId38"/>
    <hyperlink ref="BP12" r:id="rId39" display="C:\browse\$value.get(0)"/>
    <hyperlink ref="BR12" r:id="rId40" display="https://jira.harveynash.vn/browse/SD10001236-379"/>
    <hyperlink ref="B13" r:id="rId41" display="https://jira.harveynash.vn/browse/SD10001236-751"/>
    <hyperlink ref="AW13" r:id="rId42"/>
    <hyperlink ref="BP13" r:id="rId43" display="C:\browse\$value.get(0)"/>
    <hyperlink ref="B14" r:id="rId44" display="https://jira.harveynash.vn/browse/SD10001236-744"/>
    <hyperlink ref="U14" r:id="rId45" display="https://jira.harveynash.vn/secure/attachment/44992/_thumb_44992.png"/>
    <hyperlink ref="AW14" r:id="rId46"/>
    <hyperlink ref="BP14" r:id="rId47" display="C:\browse\$value.get(0)"/>
    <hyperlink ref="B15" r:id="rId48" display="https://jira.harveynash.vn/browse/SD10001236-714"/>
    <hyperlink ref="AW15" r:id="rId49"/>
    <hyperlink ref="BP15" r:id="rId50" display="C:\browse\$value.get(0)"/>
    <hyperlink ref="B16" r:id="rId51" display="https://jira.harveynash.vn/browse/SD10001236-713"/>
    <hyperlink ref="AW16" r:id="rId52"/>
    <hyperlink ref="BP16" r:id="rId53" display="C:\browse\$value.get(0)"/>
    <hyperlink ref="B17" r:id="rId54" display="https://jira.harveynash.vn/browse/SD10001236-691"/>
    <hyperlink ref="U17" r:id="rId55" display="https://jira.harveynash.vn/secure/attachment/44327/_thumb_44327.png"/>
    <hyperlink ref="AW17" r:id="rId56"/>
    <hyperlink ref="BP17" r:id="rId57" display="C:\browse\$value.get(0)"/>
    <hyperlink ref="BR17" r:id="rId58" display="https://jira.harveynash.vn/browse/SD10001236-379"/>
    <hyperlink ref="B18" r:id="rId59" display="https://jira.harveynash.vn/browse/SD10001236-680"/>
    <hyperlink ref="U18" r:id="rId60" display="https://jira.harveynash.vn/secure/attachment/44318/_thumb_44318.png"/>
    <hyperlink ref="AW18" r:id="rId61"/>
    <hyperlink ref="BP18" r:id="rId62" display="C:\browse\$value.get(0)"/>
    <hyperlink ref="BR18" r:id="rId63" display="https://jira.harveynash.vn/browse/SD10001236-379"/>
    <hyperlink ref="B19" r:id="rId64" display="https://jira.harveynash.vn/browse/SD10001236-660"/>
    <hyperlink ref="AW19" r:id="rId65"/>
    <hyperlink ref="BP19" r:id="rId66" display="C:\browse\$value.get(0)"/>
    <hyperlink ref="BR19" r:id="rId67" display="https://jira.harveynash.vn/browse/SD10001236-379"/>
    <hyperlink ref="B20" r:id="rId68" display="https://jira.harveynash.vn/browse/SD10001236-656"/>
    <hyperlink ref="U20" r:id="rId69" display="https://jira.harveynash.vn/secure/attachment/43924/_thumb_43924.png"/>
    <hyperlink ref="AW20" r:id="rId70"/>
    <hyperlink ref="BP20" r:id="rId71" display="C:\browse\$value.get(0)"/>
    <hyperlink ref="BR20" r:id="rId72" display="https://jira.harveynash.vn/browse/SD10001236-379"/>
    <hyperlink ref="B21" r:id="rId73" display="https://jira.harveynash.vn/browse/SD10001236-646"/>
    <hyperlink ref="U21" r:id="rId74" display="https://jira.harveynash.vn/secure/attachment/45141/_thumb_45141.png"/>
    <hyperlink ref="AW21" r:id="rId75"/>
    <hyperlink ref="BP21" r:id="rId76" display="C:\browse\$value.get(0)"/>
    <hyperlink ref="BR21" r:id="rId77" display="https://jira.harveynash.vn/browse/SD10001236-379"/>
    <hyperlink ref="B22" r:id="rId78" display="https://jira.harveynash.vn/browse/SD10001236-640"/>
    <hyperlink ref="AW22" r:id="rId79"/>
    <hyperlink ref="BP22" r:id="rId80" display="C:\browse\$value.get(0)"/>
    <hyperlink ref="BR22" r:id="rId81" display="https://jira.harveynash.vn/browse/SD10001236-379"/>
    <hyperlink ref="B23" r:id="rId82" display="https://jira.harveynash.vn/browse/SD10001236-388"/>
    <hyperlink ref="U23" r:id="rId83" display="https://jira.harveynash.vn/secure/attachment/41974/_thumb_41974.png"/>
    <hyperlink ref="AW23" r:id="rId84"/>
    <hyperlink ref="BP23" r:id="rId85" display="C:\browse\$value.get(0)"/>
    <hyperlink ref="BR23" r:id="rId86" display="https://jira.harveynash.vn/browse/SD10001236-379"/>
    <hyperlink ref="B24" r:id="rId87" display="https://jira.harveynash.vn/browse/SD10001236-327"/>
    <hyperlink ref="U24" r:id="rId88" display="https://jira.harveynash.vn/secure/attachment/41615/_thumb_41615.png"/>
    <hyperlink ref="AW24" r:id="rId89"/>
    <hyperlink ref="BP24" r:id="rId90" display="C:\browse\$value.get(0)"/>
    <hyperlink ref="BR24" r:id="rId91" display="https://jira.harveynash.vn/browse/SD10001236-379"/>
    <hyperlink ref="B25" r:id="rId92" display="https://jira.harveynash.vn/browse/SD10001236-324"/>
    <hyperlink ref="U25" r:id="rId93" display="https://jira.harveynash.vn/secure/attachment/41608/_thumb_41608.png"/>
    <hyperlink ref="AW25" r:id="rId94"/>
    <hyperlink ref="BP25" r:id="rId95" display="C:\browse\$value.get(0)"/>
    <hyperlink ref="BR25" r:id="rId96" display="https://jira.harveynash.vn/browse/SD10001236-379"/>
    <hyperlink ref="B26" r:id="rId97" display="https://jira.harveynash.vn/browse/SD10001236-321"/>
    <hyperlink ref="AW26" r:id="rId98"/>
    <hyperlink ref="BP26" r:id="rId99" display="C:\browse\$value.get(0)"/>
    <hyperlink ref="BR26" r:id="rId100" display="https://jira.harveynash.vn/browse/SD10001236-379"/>
    <hyperlink ref="B27" r:id="rId101" display="https://jira.harveynash.vn/browse/SD10001236-319"/>
    <hyperlink ref="U27" r:id="rId102" display="https://jira.harveynash.vn/secure/attachment/41549/_thumb_41549.png"/>
    <hyperlink ref="AW27" r:id="rId103"/>
    <hyperlink ref="BP27" r:id="rId104" display="C:\browse\$value.get(0)"/>
    <hyperlink ref="BR27" r:id="rId105" display="https://jira.harveynash.vn/browse/SD10001236-379"/>
    <hyperlink ref="B28" r:id="rId106" display="https://jira.harveynash.vn/browse/SD10001236-316"/>
    <hyperlink ref="U28" r:id="rId107" display="https://jira.harveynash.vn/secure/attachment/41535/_thumb_41535.png"/>
    <hyperlink ref="AW28" r:id="rId108"/>
    <hyperlink ref="BP28" r:id="rId109" display="C:\browse\$value.get(0)"/>
    <hyperlink ref="BR28" r:id="rId110" display="https://jira.harveynash.vn/browse/SD10001236-379"/>
    <hyperlink ref="B29" r:id="rId111" display="https://jira.harveynash.vn/browse/SD10001236-305"/>
    <hyperlink ref="U29" r:id="rId112" display="https://jira.harveynash.vn/secure/attachment/41437/_thumb_41437.png"/>
    <hyperlink ref="AW29" r:id="rId113"/>
    <hyperlink ref="BP29" r:id="rId114" display="C:\browse\$value.get(0)"/>
    <hyperlink ref="BR29" r:id="rId115" display="https://jira.harveynash.vn/browse/SD10001236-379"/>
    <hyperlink ref="B30" r:id="rId116" display="https://jira.harveynash.vn/browse/SD10001236-303"/>
    <hyperlink ref="U30" r:id="rId117" display="https://jira.harveynash.vn/secure/attachment/41433/_thumb_41433.png"/>
    <hyperlink ref="AW30" r:id="rId118"/>
    <hyperlink ref="BP30" r:id="rId119" display="C:\browse\$value.get(0)"/>
    <hyperlink ref="BR30" r:id="rId120" display="https://jira.harveynash.vn/browse/SD10001236-379"/>
    <hyperlink ref="B31" r:id="rId121" display="https://jira.harveynash.vn/browse/SD10001236-33"/>
    <hyperlink ref="AW31" r:id="rId122"/>
    <hyperlink ref="BP31" r:id="rId123" display="C:\browse\$value.get(0)"/>
    <hyperlink ref="BR31" r:id="rId124" display="https://jira.harveynash.vn/browse/SD10001236-379"/>
    <hyperlink ref="B32" r:id="rId125" display="https://jira.harveynash.vn/browse/SD10001236-31"/>
    <hyperlink ref="AW32" r:id="rId126"/>
    <hyperlink ref="BP32" r:id="rId127" display="C:\browse\$value.get(0)"/>
  </hyperlinks>
  <pageMargins left="0.7" right="0.7" top="0.75" bottom="0.75" header="0.3" footer="0.3"/>
  <drawing r:id="rId1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O104"/>
  <sheetViews>
    <sheetView showGridLines="0" zoomScaleNormal="100" workbookViewId="0">
      <selection activeCell="B5" sqref="B5"/>
    </sheetView>
  </sheetViews>
  <sheetFormatPr defaultRowHeight="14.25"/>
  <cols>
    <col min="1" max="1" width="4.5" style="74" customWidth="1"/>
    <col min="2" max="2" width="21.875" style="30" customWidth="1"/>
    <col min="3" max="3" width="18.875" style="30" bestFit="1" customWidth="1"/>
    <col min="4" max="4" width="20.375" style="30" bestFit="1" customWidth="1"/>
    <col min="5" max="5" width="16.25" style="30" customWidth="1"/>
    <col min="6" max="6" width="18.875" style="30" customWidth="1"/>
    <col min="7" max="7" width="14.875" style="43" customWidth="1"/>
    <col min="8" max="8" width="20.875" style="43" customWidth="1"/>
    <col min="9" max="11" width="11.375" style="43" customWidth="1"/>
    <col min="12" max="12" width="17.25" style="43" customWidth="1"/>
    <col min="13" max="13" width="17.25" style="30" customWidth="1"/>
    <col min="14" max="14" width="14" style="30" customWidth="1"/>
    <col min="15" max="15" width="18.375" style="30" customWidth="1"/>
    <col min="16" max="16384" width="9" style="30"/>
  </cols>
  <sheetData>
    <row r="1" spans="1:12" ht="15">
      <c r="G1" s="44" t="s">
        <v>19</v>
      </c>
    </row>
    <row r="2" spans="1:12" s="105" customFormat="1" ht="26.25">
      <c r="A2" s="41"/>
      <c r="C2" s="196" t="s">
        <v>457</v>
      </c>
      <c r="D2" s="196"/>
      <c r="E2" s="196"/>
      <c r="F2" s="196"/>
      <c r="G2" s="196"/>
      <c r="H2" s="106" t="s">
        <v>13</v>
      </c>
      <c r="I2" s="107"/>
      <c r="J2" s="107"/>
      <c r="K2" s="107"/>
      <c r="L2" s="107"/>
    </row>
    <row r="3" spans="1:12" s="105" customFormat="1" ht="23.25">
      <c r="A3" s="41"/>
      <c r="B3" s="97"/>
      <c r="C3" s="197" t="s">
        <v>14</v>
      </c>
      <c r="D3" s="197"/>
      <c r="E3" s="108"/>
      <c r="F3" s="192" t="s">
        <v>15</v>
      </c>
      <c r="G3" s="192"/>
      <c r="H3" s="107"/>
      <c r="I3" s="107"/>
      <c r="J3" s="109"/>
      <c r="K3" s="107"/>
      <c r="L3" s="107"/>
    </row>
    <row r="4" spans="1:12">
      <c r="A4" s="41"/>
      <c r="D4" s="110"/>
      <c r="E4" s="110"/>
      <c r="H4" s="111"/>
    </row>
    <row r="5" spans="1:12" s="112" customFormat="1">
      <c r="A5" s="41"/>
      <c r="D5" s="113"/>
      <c r="E5" s="113"/>
      <c r="G5" s="114"/>
      <c r="H5" s="115"/>
      <c r="I5" s="114"/>
      <c r="J5" s="114"/>
      <c r="K5" s="114"/>
      <c r="L5" s="114"/>
    </row>
    <row r="6" spans="1:12">
      <c r="A6" s="41"/>
      <c r="D6" s="110"/>
      <c r="E6" s="110"/>
      <c r="H6" s="111"/>
    </row>
    <row r="7" spans="1:12" s="29" customFormat="1">
      <c r="A7" s="208" t="s">
        <v>433</v>
      </c>
      <c r="B7" s="209"/>
      <c r="C7" s="103" t="s">
        <v>83</v>
      </c>
      <c r="D7" s="104"/>
      <c r="E7" s="210" t="s">
        <v>436</v>
      </c>
      <c r="F7" s="159" t="s">
        <v>446</v>
      </c>
      <c r="G7" s="212" t="s">
        <v>438</v>
      </c>
      <c r="H7" s="116" t="s">
        <v>446</v>
      </c>
      <c r="I7" s="42"/>
      <c r="J7" s="42"/>
      <c r="K7" s="42"/>
      <c r="L7" s="42"/>
    </row>
    <row r="8" spans="1:12">
      <c r="A8" s="208" t="s">
        <v>434</v>
      </c>
      <c r="B8" s="209"/>
      <c r="C8" s="117"/>
      <c r="D8" s="118"/>
      <c r="E8" s="211" t="s">
        <v>437</v>
      </c>
      <c r="F8" s="119" t="s">
        <v>87</v>
      </c>
      <c r="G8" s="120"/>
      <c r="H8" s="121"/>
    </row>
    <row r="9" spans="1:12">
      <c r="A9" s="208" t="s">
        <v>435</v>
      </c>
      <c r="B9" s="209"/>
      <c r="C9" s="117"/>
      <c r="D9" s="118"/>
      <c r="E9" s="211"/>
      <c r="F9" s="117"/>
      <c r="G9" s="120"/>
      <c r="H9" s="121"/>
    </row>
    <row r="11" spans="1:12" ht="21.75" customHeight="1">
      <c r="B11" s="143" t="s">
        <v>88</v>
      </c>
      <c r="C11" s="32"/>
      <c r="D11" s="32"/>
      <c r="E11" s="32"/>
      <c r="F11" s="32"/>
      <c r="G11" s="46"/>
      <c r="H11" s="46"/>
    </row>
    <row r="12" spans="1:12">
      <c r="B12" s="122"/>
      <c r="C12" s="122"/>
      <c r="D12" s="122"/>
      <c r="E12" s="122"/>
      <c r="F12" s="122"/>
      <c r="G12" s="123"/>
    </row>
    <row r="13" spans="1:12">
      <c r="A13" s="216" t="s">
        <v>119</v>
      </c>
      <c r="B13" s="217" t="s">
        <v>89</v>
      </c>
      <c r="C13" s="217" t="s">
        <v>90</v>
      </c>
      <c r="D13" s="217" t="s">
        <v>91</v>
      </c>
      <c r="E13" s="217" t="s">
        <v>74</v>
      </c>
      <c r="F13" s="218" t="s">
        <v>92</v>
      </c>
      <c r="G13" s="218"/>
      <c r="H13" s="218"/>
    </row>
    <row r="14" spans="1:12">
      <c r="A14" s="215">
        <v>1</v>
      </c>
      <c r="B14" s="166" t="s">
        <v>93</v>
      </c>
      <c r="C14" s="166"/>
      <c r="D14" s="166"/>
      <c r="E14" s="166"/>
      <c r="F14" s="199"/>
      <c r="G14" s="199"/>
      <c r="H14" s="199"/>
    </row>
    <row r="15" spans="1:12" ht="20.25" customHeight="1">
      <c r="A15" s="215">
        <v>2</v>
      </c>
      <c r="B15" s="166" t="s">
        <v>94</v>
      </c>
      <c r="C15" s="166"/>
      <c r="D15" s="166"/>
      <c r="E15" s="166"/>
      <c r="F15" s="199"/>
      <c r="G15" s="199"/>
      <c r="H15" s="199"/>
    </row>
    <row r="16" spans="1:12">
      <c r="B16" s="124"/>
      <c r="C16" s="124"/>
      <c r="D16" s="124"/>
      <c r="E16" s="125"/>
      <c r="F16" s="200"/>
      <c r="G16" s="200"/>
      <c r="H16" s="200"/>
    </row>
    <row r="17" spans="1:12" ht="15" customHeight="1">
      <c r="B17" s="126"/>
      <c r="C17" s="122"/>
      <c r="D17" s="122"/>
      <c r="E17" s="122"/>
      <c r="F17" s="122"/>
      <c r="G17" s="123"/>
    </row>
    <row r="18" spans="1:12">
      <c r="B18" s="126"/>
      <c r="C18" s="122"/>
      <c r="D18" s="122"/>
      <c r="E18" s="122"/>
      <c r="F18" s="122"/>
      <c r="G18" s="123"/>
    </row>
    <row r="19" spans="1:12">
      <c r="B19" s="126"/>
      <c r="C19" s="122"/>
      <c r="D19" s="122"/>
      <c r="E19" s="122"/>
      <c r="F19" s="122"/>
      <c r="G19" s="123"/>
    </row>
    <row r="20" spans="1:12" ht="21.75" customHeight="1">
      <c r="B20" s="143" t="s">
        <v>456</v>
      </c>
      <c r="C20" s="32"/>
      <c r="D20" s="32"/>
      <c r="E20" s="32"/>
      <c r="F20" s="32"/>
      <c r="G20" s="46"/>
      <c r="H20" s="46"/>
    </row>
    <row r="21" spans="1:12">
      <c r="B21" s="126"/>
      <c r="C21" s="122"/>
      <c r="D21" s="122"/>
      <c r="E21" s="122"/>
      <c r="F21" s="122"/>
      <c r="G21" s="123"/>
    </row>
    <row r="22" spans="1:12" ht="18.75" customHeight="1">
      <c r="A22" s="216" t="s">
        <v>119</v>
      </c>
      <c r="B22" s="217" t="s">
        <v>96</v>
      </c>
      <c r="C22" s="218" t="s">
        <v>97</v>
      </c>
      <c r="D22" s="218"/>
      <c r="E22" s="218" t="s">
        <v>98</v>
      </c>
      <c r="F22" s="218"/>
      <c r="G22" s="218"/>
      <c r="H22" s="216" t="s">
        <v>99</v>
      </c>
    </row>
    <row r="23" spans="1:12" ht="34.5" customHeight="1">
      <c r="A23" s="215">
        <v>1</v>
      </c>
      <c r="B23" s="165" t="s">
        <v>100</v>
      </c>
      <c r="C23" s="191" t="s">
        <v>101</v>
      </c>
      <c r="D23" s="191"/>
      <c r="E23" s="191" t="s">
        <v>102</v>
      </c>
      <c r="F23" s="191"/>
      <c r="G23" s="191"/>
      <c r="H23" s="219"/>
    </row>
    <row r="24" spans="1:12" ht="34.5" customHeight="1">
      <c r="A24" s="215">
        <v>2</v>
      </c>
      <c r="B24" s="165" t="s">
        <v>100</v>
      </c>
      <c r="C24" s="191" t="s">
        <v>101</v>
      </c>
      <c r="D24" s="191"/>
      <c r="E24" s="191" t="s">
        <v>102</v>
      </c>
      <c r="F24" s="191"/>
      <c r="G24" s="191"/>
      <c r="H24" s="219"/>
    </row>
    <row r="25" spans="1:12" ht="34.5" customHeight="1">
      <c r="A25" s="215">
        <v>3</v>
      </c>
      <c r="B25" s="165" t="s">
        <v>100</v>
      </c>
      <c r="C25" s="191" t="s">
        <v>101</v>
      </c>
      <c r="D25" s="191"/>
      <c r="E25" s="191" t="s">
        <v>102</v>
      </c>
      <c r="F25" s="191"/>
      <c r="G25" s="191"/>
      <c r="H25" s="219"/>
    </row>
    <row r="26" spans="1:12">
      <c r="B26" s="83"/>
      <c r="C26" s="83"/>
      <c r="D26" s="83"/>
      <c r="E26" s="127"/>
      <c r="F26" s="122"/>
      <c r="G26" s="123"/>
    </row>
    <row r="27" spans="1:12" ht="21.75" customHeight="1">
      <c r="B27" s="143" t="s">
        <v>103</v>
      </c>
      <c r="C27" s="32"/>
      <c r="D27" s="32"/>
      <c r="E27" s="32"/>
      <c r="F27" s="32"/>
      <c r="G27" s="46"/>
      <c r="H27" s="46"/>
    </row>
    <row r="28" spans="1:12">
      <c r="B28" s="83"/>
      <c r="C28" s="83"/>
      <c r="D28" s="83"/>
      <c r="E28" s="127"/>
      <c r="F28" s="122"/>
      <c r="G28" s="123"/>
    </row>
    <row r="29" spans="1:12" s="29" customFormat="1" ht="21" customHeight="1">
      <c r="A29" s="213" t="s">
        <v>119</v>
      </c>
      <c r="B29" s="220" t="s">
        <v>104</v>
      </c>
      <c r="C29" s="214" t="s">
        <v>105</v>
      </c>
      <c r="D29" s="214"/>
      <c r="E29" s="220" t="s">
        <v>106</v>
      </c>
      <c r="F29" s="220" t="s">
        <v>107</v>
      </c>
      <c r="G29" s="221" t="s">
        <v>108</v>
      </c>
      <c r="H29" s="221" t="s">
        <v>74</v>
      </c>
      <c r="I29" s="42"/>
      <c r="J29" s="42"/>
      <c r="K29" s="42"/>
      <c r="L29" s="42"/>
    </row>
    <row r="30" spans="1:12" ht="43.5" customHeight="1">
      <c r="A30" s="215">
        <v>1</v>
      </c>
      <c r="B30" s="165" t="s">
        <v>109</v>
      </c>
      <c r="C30" s="191" t="s">
        <v>110</v>
      </c>
      <c r="D30" s="191"/>
      <c r="E30" s="222"/>
      <c r="F30" s="222"/>
      <c r="G30" s="219"/>
      <c r="H30" s="219"/>
    </row>
    <row r="31" spans="1:12" ht="43.5" customHeight="1">
      <c r="A31" s="215">
        <v>2</v>
      </c>
      <c r="B31" s="165" t="s">
        <v>109</v>
      </c>
      <c r="C31" s="191" t="s">
        <v>110</v>
      </c>
      <c r="D31" s="191"/>
      <c r="E31" s="222"/>
      <c r="F31" s="222"/>
      <c r="G31" s="219"/>
      <c r="H31" s="219"/>
    </row>
    <row r="32" spans="1:12" ht="43.5" customHeight="1">
      <c r="A32" s="215">
        <v>3</v>
      </c>
      <c r="B32" s="165" t="s">
        <v>109</v>
      </c>
      <c r="C32" s="191" t="s">
        <v>110</v>
      </c>
      <c r="D32" s="191"/>
      <c r="E32" s="222"/>
      <c r="F32" s="222"/>
      <c r="G32" s="219"/>
      <c r="H32" s="219"/>
    </row>
    <row r="33" spans="1:15" ht="24.75" customHeight="1">
      <c r="B33" s="128"/>
      <c r="C33" s="195"/>
      <c r="D33" s="195"/>
      <c r="E33" s="127"/>
      <c r="F33" s="127"/>
      <c r="G33" s="129"/>
      <c r="H33" s="129"/>
    </row>
    <row r="36" spans="1:15" ht="21.75" customHeight="1">
      <c r="B36" s="143" t="s">
        <v>111</v>
      </c>
      <c r="C36" s="32"/>
      <c r="D36" s="32"/>
      <c r="E36" s="32"/>
      <c r="F36" s="32"/>
      <c r="G36" s="46"/>
      <c r="H36" s="46"/>
    </row>
    <row r="38" spans="1:15" ht="16.5">
      <c r="B38" s="144" t="s">
        <v>112</v>
      </c>
    </row>
    <row r="39" spans="1:15" ht="19.5">
      <c r="A39" s="76"/>
    </row>
    <row r="40" spans="1:15" ht="20.25" customHeight="1">
      <c r="B40" s="72" t="s">
        <v>113</v>
      </c>
      <c r="C40" s="72" t="s">
        <v>114</v>
      </c>
      <c r="D40" s="72" t="s">
        <v>115</v>
      </c>
      <c r="E40" s="72" t="s">
        <v>116</v>
      </c>
      <c r="F40" s="72" t="s">
        <v>117</v>
      </c>
    </row>
    <row r="41" spans="1:15" ht="20.25" customHeight="1">
      <c r="B41" s="158">
        <f>Introduction!G55</f>
        <v>0</v>
      </c>
      <c r="C41" s="158">
        <f>SUM(N48:N73)</f>
        <v>0.5269387637156232</v>
      </c>
      <c r="D41" s="158">
        <f>SUM(O48:O73)</f>
        <v>0.3749862625895683</v>
      </c>
      <c r="E41" s="73"/>
      <c r="F41" s="73"/>
    </row>
    <row r="42" spans="1:15" ht="19.5">
      <c r="A42" s="76"/>
      <c r="B42" s="126"/>
      <c r="C42" s="130"/>
    </row>
    <row r="43" spans="1:15" ht="19.5">
      <c r="A43" s="76"/>
    </row>
    <row r="44" spans="1:15" ht="21.75" customHeight="1">
      <c r="B44" s="145" t="s">
        <v>118</v>
      </c>
      <c r="C44" s="32"/>
      <c r="D44" s="32"/>
      <c r="E44" s="32"/>
      <c r="F44" s="32"/>
      <c r="G44" s="46"/>
      <c r="H44" s="46"/>
    </row>
    <row r="46" spans="1:15">
      <c r="A46" s="198" t="s">
        <v>119</v>
      </c>
      <c r="B46" s="193" t="s">
        <v>120</v>
      </c>
      <c r="C46" s="193" t="s">
        <v>121</v>
      </c>
      <c r="D46" s="193" t="s">
        <v>122</v>
      </c>
      <c r="E46" s="193" t="s">
        <v>123</v>
      </c>
      <c r="F46" s="194" t="s">
        <v>124</v>
      </c>
      <c r="G46" s="193" t="s">
        <v>125</v>
      </c>
      <c r="H46" s="193"/>
      <c r="I46" s="193"/>
      <c r="J46" s="193"/>
      <c r="K46" s="193"/>
      <c r="L46" s="193"/>
      <c r="M46" s="81"/>
      <c r="N46" s="194" t="s">
        <v>126</v>
      </c>
      <c r="O46" s="194"/>
    </row>
    <row r="47" spans="1:15" ht="25.5">
      <c r="A47" s="198"/>
      <c r="B47" s="193"/>
      <c r="C47" s="193"/>
      <c r="D47" s="193"/>
      <c r="E47" s="193"/>
      <c r="F47" s="194"/>
      <c r="G47" s="69" t="s">
        <v>127</v>
      </c>
      <c r="H47" s="69" t="s">
        <v>128</v>
      </c>
      <c r="I47" s="69" t="s">
        <v>129</v>
      </c>
      <c r="J47" s="70" t="s">
        <v>130</v>
      </c>
      <c r="K47" s="70" t="s">
        <v>131</v>
      </c>
      <c r="L47" s="71" t="s">
        <v>132</v>
      </c>
      <c r="M47" s="82" t="s">
        <v>133</v>
      </c>
      <c r="N47" s="82" t="s">
        <v>114</v>
      </c>
      <c r="O47" s="82" t="s">
        <v>134</v>
      </c>
    </row>
    <row r="48" spans="1:15">
      <c r="A48" s="75">
        <v>1</v>
      </c>
      <c r="B48" s="131" t="s">
        <v>135</v>
      </c>
      <c r="C48" s="131"/>
      <c r="D48" s="132" t="s">
        <v>136</v>
      </c>
      <c r="E48" s="133" t="s">
        <v>137</v>
      </c>
      <c r="F48" s="131" t="s">
        <v>138</v>
      </c>
      <c r="G48" s="75">
        <v>1</v>
      </c>
      <c r="H48" s="75">
        <v>0</v>
      </c>
      <c r="I48" s="75">
        <v>0</v>
      </c>
      <c r="J48" s="75">
        <v>0</v>
      </c>
      <c r="K48" s="75">
        <v>0</v>
      </c>
      <c r="L48" s="75">
        <v>0</v>
      </c>
      <c r="M48" s="134" t="s">
        <v>139</v>
      </c>
      <c r="N48" s="157">
        <f>(G48+H48+L48)/SUM(G48:L48)*VLOOKUP(E48,Introduction!$C$44:$F$47,4,)</f>
        <v>4.1322314049586778E-2</v>
      </c>
      <c r="O48" s="157">
        <f>(G48+L48)/SUM(G48:L48)*VLOOKUP(E48,Introduction!$C$44:$F$47,4,0)</f>
        <v>4.1322314049586778E-2</v>
      </c>
    </row>
    <row r="49" spans="1:15">
      <c r="A49" s="75">
        <v>2</v>
      </c>
      <c r="B49" s="131" t="s">
        <v>140</v>
      </c>
      <c r="C49" s="131"/>
      <c r="D49" s="132" t="s">
        <v>136</v>
      </c>
      <c r="E49" s="133" t="s">
        <v>137</v>
      </c>
      <c r="F49" s="131" t="s">
        <v>138</v>
      </c>
      <c r="G49" s="75">
        <v>20</v>
      </c>
      <c r="H49" s="75">
        <v>0</v>
      </c>
      <c r="I49" s="75">
        <v>0</v>
      </c>
      <c r="J49" s="75">
        <v>80</v>
      </c>
      <c r="K49" s="75">
        <v>0</v>
      </c>
      <c r="L49" s="75">
        <v>0</v>
      </c>
      <c r="M49" s="134" t="s">
        <v>141</v>
      </c>
      <c r="N49" s="157">
        <f>(G49+H49+L49)/SUM(G49:L49)*VLOOKUP(E49,Introduction!$C$44:$F$47,4,)</f>
        <v>8.2644628099173556E-3</v>
      </c>
      <c r="O49" s="157">
        <f>(G49+L49)/SUM(G49:L49)*VLOOKUP(E49,Introduction!$C$44:$F$47,4,0)</f>
        <v>8.2644628099173556E-3</v>
      </c>
    </row>
    <row r="50" spans="1:15">
      <c r="A50" s="75">
        <v>3</v>
      </c>
      <c r="B50" s="131" t="s">
        <v>142</v>
      </c>
      <c r="C50" s="131"/>
      <c r="D50" s="132" t="s">
        <v>136</v>
      </c>
      <c r="E50" s="133" t="s">
        <v>143</v>
      </c>
      <c r="F50" s="131" t="s">
        <v>138</v>
      </c>
      <c r="G50" s="75">
        <v>1</v>
      </c>
      <c r="H50" s="75">
        <v>1</v>
      </c>
      <c r="I50" s="75">
        <v>1</v>
      </c>
      <c r="J50" s="75">
        <v>3</v>
      </c>
      <c r="K50" s="75">
        <v>6</v>
      </c>
      <c r="L50" s="75">
        <v>1</v>
      </c>
      <c r="M50" s="134" t="s">
        <v>141</v>
      </c>
      <c r="N50" s="157">
        <f>(G50+H50+L50)/SUM(G50:L50)*VLOOKUP(E50,Introduction!$C$44:$F$47,4,)</f>
        <v>3.8143674507310876E-2</v>
      </c>
      <c r="O50" s="157">
        <f>(G50+L50)/SUM(G50:L50)*VLOOKUP(E50,Introduction!$C$44:$F$47,4,0)</f>
        <v>2.5429116338207249E-2</v>
      </c>
    </row>
    <row r="51" spans="1:15">
      <c r="A51" s="75">
        <v>4</v>
      </c>
      <c r="B51" s="131" t="s">
        <v>144</v>
      </c>
      <c r="C51" s="131" t="s">
        <v>145</v>
      </c>
      <c r="D51" s="132" t="s">
        <v>136</v>
      </c>
      <c r="E51" s="133" t="s">
        <v>146</v>
      </c>
      <c r="F51" s="131" t="s">
        <v>147</v>
      </c>
      <c r="G51" s="75">
        <v>2</v>
      </c>
      <c r="H51" s="75">
        <v>1</v>
      </c>
      <c r="I51" s="75">
        <v>0</v>
      </c>
      <c r="J51" s="75">
        <v>0</v>
      </c>
      <c r="K51" s="75">
        <v>1</v>
      </c>
      <c r="L51" s="75">
        <v>3</v>
      </c>
      <c r="M51" s="134" t="s">
        <v>139</v>
      </c>
      <c r="N51" s="157">
        <f>(G51+H51+L51)/SUM(G51:L51)*VLOOKUP(E51,Introduction!$C$44:$F$47,4,)</f>
        <v>7.0838252656434475E-3</v>
      </c>
      <c r="O51" s="157">
        <f>(G51+L51)/SUM(G51:L51)*VLOOKUP(E51,Introduction!$C$44:$F$47,4,0)</f>
        <v>5.9031877213695395E-3</v>
      </c>
    </row>
    <row r="52" spans="1:15">
      <c r="A52" s="75">
        <v>5</v>
      </c>
      <c r="B52" s="131" t="s">
        <v>148</v>
      </c>
      <c r="C52" s="131" t="s">
        <v>145</v>
      </c>
      <c r="D52" s="132" t="s">
        <v>136</v>
      </c>
      <c r="E52" s="133" t="s">
        <v>137</v>
      </c>
      <c r="F52" s="131" t="s">
        <v>147</v>
      </c>
      <c r="G52" s="75">
        <v>2</v>
      </c>
      <c r="H52" s="75">
        <v>8</v>
      </c>
      <c r="I52" s="75">
        <v>0</v>
      </c>
      <c r="J52" s="75">
        <v>0</v>
      </c>
      <c r="K52" s="75">
        <v>1</v>
      </c>
      <c r="L52" s="75">
        <v>0</v>
      </c>
      <c r="M52" s="135" t="s">
        <v>139</v>
      </c>
      <c r="N52" s="157">
        <f>(G52+H52+L52)/SUM(G52:L52)*VLOOKUP(E52,Introduction!$C$44:$F$47,4,)</f>
        <v>3.7565740045078885E-2</v>
      </c>
      <c r="O52" s="157">
        <f>(G52+L52)/SUM(G52:L52)*VLOOKUP(E52,Introduction!$C$44:$F$47,4,0)</f>
        <v>7.5131480090157785E-3</v>
      </c>
    </row>
    <row r="53" spans="1:15">
      <c r="A53" s="75">
        <v>6</v>
      </c>
      <c r="B53" s="131" t="s">
        <v>149</v>
      </c>
      <c r="C53" s="131" t="s">
        <v>145</v>
      </c>
      <c r="D53" s="132" t="s">
        <v>136</v>
      </c>
      <c r="E53" s="133" t="s">
        <v>150</v>
      </c>
      <c r="F53" s="131" t="s">
        <v>151</v>
      </c>
      <c r="G53" s="75">
        <v>2</v>
      </c>
      <c r="H53" s="75">
        <v>0</v>
      </c>
      <c r="I53" s="75">
        <v>0</v>
      </c>
      <c r="J53" s="75">
        <v>0</v>
      </c>
      <c r="K53" s="75">
        <v>1</v>
      </c>
      <c r="L53" s="75">
        <v>0</v>
      </c>
      <c r="M53" s="135" t="s">
        <v>139</v>
      </c>
      <c r="N53" s="157">
        <f>(G53+H53+L53)/SUM(G53:L53)*VLOOKUP(E53,Introduction!$C$44:$F$47,4,)</f>
        <v>5.5096418732782371E-2</v>
      </c>
      <c r="O53" s="157">
        <f>(G53+L53)/SUM(G53:L53)*VLOOKUP(E53,Introduction!$C$44:$F$47,4,0)</f>
        <v>5.5096418732782371E-2</v>
      </c>
    </row>
    <row r="54" spans="1:15">
      <c r="A54" s="75">
        <v>7</v>
      </c>
      <c r="B54" s="131" t="s">
        <v>149</v>
      </c>
      <c r="C54" s="131" t="s">
        <v>145</v>
      </c>
      <c r="D54" s="132" t="s">
        <v>136</v>
      </c>
      <c r="E54" s="133" t="s">
        <v>137</v>
      </c>
      <c r="F54" s="131" t="s">
        <v>138</v>
      </c>
      <c r="G54" s="75">
        <v>1</v>
      </c>
      <c r="H54" s="75">
        <v>7</v>
      </c>
      <c r="I54" s="75">
        <v>1</v>
      </c>
      <c r="J54" s="75">
        <v>1</v>
      </c>
      <c r="K54" s="75">
        <v>1</v>
      </c>
      <c r="L54" s="75">
        <v>1</v>
      </c>
      <c r="M54" s="135" t="s">
        <v>139</v>
      </c>
      <c r="N54" s="157">
        <f>(G54+H54+L54)/SUM(G54:L54)*VLOOKUP(E54,Introduction!$C$44:$F$47,4,)</f>
        <v>3.0991735537190084E-2</v>
      </c>
      <c r="O54" s="157">
        <f>(G54+L54)/SUM(G54:L54)*VLOOKUP(E54,Introduction!$C$44:$F$47,4,0)</f>
        <v>6.8870523415977963E-3</v>
      </c>
    </row>
    <row r="55" spans="1:15">
      <c r="A55" s="75">
        <v>8</v>
      </c>
      <c r="B55" s="131" t="s">
        <v>149</v>
      </c>
      <c r="C55" s="131" t="s">
        <v>145</v>
      </c>
      <c r="D55" s="132" t="s">
        <v>136</v>
      </c>
      <c r="E55" s="133" t="s">
        <v>146</v>
      </c>
      <c r="F55" s="131" t="s">
        <v>138</v>
      </c>
      <c r="G55" s="75">
        <v>1</v>
      </c>
      <c r="H55" s="75">
        <v>0</v>
      </c>
      <c r="I55" s="75">
        <v>1</v>
      </c>
      <c r="J55" s="75">
        <v>1</v>
      </c>
      <c r="K55" s="75">
        <v>1</v>
      </c>
      <c r="L55" s="75">
        <v>1</v>
      </c>
      <c r="M55" s="135" t="s">
        <v>139</v>
      </c>
      <c r="N55" s="157">
        <f>(G55+H55+L55)/SUM(G55:L55)*VLOOKUP(E55,Introduction!$C$44:$F$47,4,)</f>
        <v>3.3057851239669425E-3</v>
      </c>
      <c r="O55" s="157">
        <f>(G55+L55)/SUM(G55:L55)*VLOOKUP(E55,Introduction!$C$44:$F$47,4,0)</f>
        <v>3.3057851239669425E-3</v>
      </c>
    </row>
    <row r="56" spans="1:15">
      <c r="A56" s="75">
        <v>9</v>
      </c>
      <c r="B56" s="131" t="s">
        <v>149</v>
      </c>
      <c r="C56" s="131" t="s">
        <v>145</v>
      </c>
      <c r="D56" s="132" t="s">
        <v>136</v>
      </c>
      <c r="E56" s="133" t="s">
        <v>146</v>
      </c>
      <c r="F56" s="131" t="s">
        <v>138</v>
      </c>
      <c r="G56" s="75">
        <v>1</v>
      </c>
      <c r="H56" s="75">
        <v>9</v>
      </c>
      <c r="I56" s="75">
        <v>1</v>
      </c>
      <c r="J56" s="75">
        <v>1</v>
      </c>
      <c r="K56" s="75">
        <v>0</v>
      </c>
      <c r="L56" s="75">
        <v>1</v>
      </c>
      <c r="M56" s="135" t="s">
        <v>139</v>
      </c>
      <c r="N56" s="157">
        <f>(G56+H56+L56)/SUM(G56:L56)*VLOOKUP(E56,Introduction!$C$44:$F$47,4,)</f>
        <v>6.993006993006993E-3</v>
      </c>
      <c r="O56" s="157">
        <f>(G56+L56)/SUM(G56:L56)*VLOOKUP(E56,Introduction!$C$44:$F$47,4,0)</f>
        <v>1.2714558169103624E-3</v>
      </c>
    </row>
    <row r="57" spans="1:15">
      <c r="A57" s="75">
        <v>10</v>
      </c>
      <c r="B57" s="131" t="s">
        <v>149</v>
      </c>
      <c r="C57" s="131" t="s">
        <v>145</v>
      </c>
      <c r="D57" s="132" t="s">
        <v>152</v>
      </c>
      <c r="E57" s="133" t="s">
        <v>137</v>
      </c>
      <c r="F57" s="131" t="s">
        <v>138</v>
      </c>
      <c r="G57" s="75">
        <v>1</v>
      </c>
      <c r="H57" s="75">
        <v>8</v>
      </c>
      <c r="I57" s="75">
        <v>1</v>
      </c>
      <c r="J57" s="75">
        <v>1</v>
      </c>
      <c r="K57" s="75">
        <v>0</v>
      </c>
      <c r="L57" s="75">
        <v>1</v>
      </c>
      <c r="M57" s="135" t="s">
        <v>139</v>
      </c>
      <c r="N57" s="157">
        <f>(G57+H57+L57)/SUM(G57:L57)*VLOOKUP(E57,Introduction!$C$44:$F$47,4,)</f>
        <v>3.4435261707988982E-2</v>
      </c>
      <c r="O57" s="157">
        <f>(G57+L57)/SUM(G57:L57)*VLOOKUP(E57,Introduction!$C$44:$F$47,4,0)</f>
        <v>6.8870523415977963E-3</v>
      </c>
    </row>
    <row r="58" spans="1:15">
      <c r="A58" s="75">
        <v>11</v>
      </c>
      <c r="B58" s="131" t="s">
        <v>149</v>
      </c>
      <c r="C58" s="131" t="s">
        <v>145</v>
      </c>
      <c r="D58" s="132" t="s">
        <v>152</v>
      </c>
      <c r="E58" s="133" t="s">
        <v>146</v>
      </c>
      <c r="F58" s="131" t="s">
        <v>138</v>
      </c>
      <c r="G58" s="75">
        <v>1</v>
      </c>
      <c r="H58" s="75">
        <v>0</v>
      </c>
      <c r="I58" s="75">
        <v>1</v>
      </c>
      <c r="J58" s="75">
        <v>1</v>
      </c>
      <c r="K58" s="75">
        <v>0</v>
      </c>
      <c r="L58" s="75">
        <v>1</v>
      </c>
      <c r="M58" s="135" t="s">
        <v>139</v>
      </c>
      <c r="N58" s="157">
        <f>(G58+H58+L58)/SUM(G58:L58)*VLOOKUP(E58,Introduction!$C$44:$F$47,4,)</f>
        <v>4.1322314049586778E-3</v>
      </c>
      <c r="O58" s="157">
        <f>(G58+L58)/SUM(G58:L58)*VLOOKUP(E58,Introduction!$C$44:$F$47,4,0)</f>
        <v>4.1322314049586778E-3</v>
      </c>
    </row>
    <row r="59" spans="1:15">
      <c r="A59" s="75">
        <v>12</v>
      </c>
      <c r="B59" s="131" t="s">
        <v>149</v>
      </c>
      <c r="C59" s="131" t="s">
        <v>145</v>
      </c>
      <c r="D59" s="132" t="s">
        <v>152</v>
      </c>
      <c r="E59" s="133" t="s">
        <v>146</v>
      </c>
      <c r="F59" s="131" t="s">
        <v>138</v>
      </c>
      <c r="G59" s="75">
        <v>1</v>
      </c>
      <c r="H59" s="75">
        <v>7</v>
      </c>
      <c r="I59" s="75">
        <v>1</v>
      </c>
      <c r="J59" s="75">
        <v>1</v>
      </c>
      <c r="K59" s="75">
        <v>0</v>
      </c>
      <c r="L59" s="75">
        <v>1</v>
      </c>
      <c r="M59" s="135" t="s">
        <v>139</v>
      </c>
      <c r="N59" s="157">
        <f>(G59+H59+L59)/SUM(G59:L59)*VLOOKUP(E59,Introduction!$C$44:$F$47,4,)</f>
        <v>6.7618332081142004E-3</v>
      </c>
      <c r="O59" s="157">
        <f>(G59+L59)/SUM(G59:L59)*VLOOKUP(E59,Introduction!$C$44:$F$47,4,0)</f>
        <v>1.5026296018031556E-3</v>
      </c>
    </row>
    <row r="60" spans="1:15">
      <c r="A60" s="75">
        <v>13</v>
      </c>
      <c r="B60" s="131" t="s">
        <v>149</v>
      </c>
      <c r="C60" s="131" t="s">
        <v>145</v>
      </c>
      <c r="D60" s="132" t="s">
        <v>152</v>
      </c>
      <c r="E60" s="133" t="s">
        <v>150</v>
      </c>
      <c r="F60" s="131" t="s">
        <v>138</v>
      </c>
      <c r="G60" s="75">
        <v>1</v>
      </c>
      <c r="H60" s="75">
        <v>0</v>
      </c>
      <c r="I60" s="75">
        <v>1</v>
      </c>
      <c r="J60" s="75">
        <v>1</v>
      </c>
      <c r="K60" s="75">
        <v>0</v>
      </c>
      <c r="L60" s="75">
        <v>1</v>
      </c>
      <c r="M60" s="135" t="s">
        <v>139</v>
      </c>
      <c r="N60" s="157">
        <f>(G60+H60+L60)/SUM(G60:L60)*VLOOKUP(E60,Introduction!$C$44:$F$47,4,)</f>
        <v>4.1322314049586778E-2</v>
      </c>
      <c r="O60" s="157">
        <f>(G60+L60)/SUM(G60:L60)*VLOOKUP(E60,Introduction!$C$44:$F$47,4,0)</f>
        <v>4.1322314049586778E-2</v>
      </c>
    </row>
    <row r="61" spans="1:15">
      <c r="A61" s="75">
        <v>14</v>
      </c>
      <c r="B61" s="131" t="s">
        <v>149</v>
      </c>
      <c r="C61" s="131" t="s">
        <v>145</v>
      </c>
      <c r="D61" s="132" t="s">
        <v>152</v>
      </c>
      <c r="E61" s="133" t="s">
        <v>137</v>
      </c>
      <c r="F61" s="131" t="s">
        <v>138</v>
      </c>
      <c r="G61" s="75">
        <v>1</v>
      </c>
      <c r="H61" s="75">
        <v>0</v>
      </c>
      <c r="I61" s="75">
        <v>1</v>
      </c>
      <c r="J61" s="75">
        <v>1</v>
      </c>
      <c r="K61" s="75">
        <v>0</v>
      </c>
      <c r="L61" s="75">
        <v>1</v>
      </c>
      <c r="M61" s="135" t="s">
        <v>141</v>
      </c>
      <c r="N61" s="157">
        <f>(G61+H61+L61)/SUM(G61:L61)*VLOOKUP(E61,Introduction!$C$44:$F$47,4,)</f>
        <v>2.0661157024793389E-2</v>
      </c>
      <c r="O61" s="157">
        <f>(G61+L61)/SUM(G61:L61)*VLOOKUP(E61,Introduction!$C$44:$F$47,4,0)</f>
        <v>2.0661157024793389E-2</v>
      </c>
    </row>
    <row r="62" spans="1:15">
      <c r="A62" s="75">
        <v>15</v>
      </c>
      <c r="B62" s="131" t="s">
        <v>149</v>
      </c>
      <c r="C62" s="131" t="s">
        <v>145</v>
      </c>
      <c r="D62" s="132" t="s">
        <v>152</v>
      </c>
      <c r="E62" s="133" t="s">
        <v>146</v>
      </c>
      <c r="F62" s="131" t="s">
        <v>138</v>
      </c>
      <c r="G62" s="75">
        <v>1</v>
      </c>
      <c r="H62" s="75">
        <v>5</v>
      </c>
      <c r="I62" s="75">
        <v>1</v>
      </c>
      <c r="J62" s="75">
        <v>1</v>
      </c>
      <c r="K62" s="75">
        <v>1</v>
      </c>
      <c r="L62" s="75">
        <v>1</v>
      </c>
      <c r="M62" s="135" t="s">
        <v>139</v>
      </c>
      <c r="N62" s="157">
        <f>(G62+H62+L62)/SUM(G62:L62)*VLOOKUP(E62,Introduction!$C$44:$F$47,4,)</f>
        <v>5.7851239669421484E-3</v>
      </c>
      <c r="O62" s="157">
        <f>(G62+L62)/SUM(G62:L62)*VLOOKUP(E62,Introduction!$C$44:$F$47,4,0)</f>
        <v>1.6528925619834713E-3</v>
      </c>
    </row>
    <row r="63" spans="1:15">
      <c r="A63" s="75">
        <v>16</v>
      </c>
      <c r="B63" s="131" t="s">
        <v>149</v>
      </c>
      <c r="C63" s="131" t="s">
        <v>145</v>
      </c>
      <c r="D63" s="132" t="s">
        <v>152</v>
      </c>
      <c r="E63" s="133" t="s">
        <v>146</v>
      </c>
      <c r="F63" s="131" t="s">
        <v>138</v>
      </c>
      <c r="G63" s="75">
        <v>1</v>
      </c>
      <c r="H63" s="75">
        <v>6</v>
      </c>
      <c r="I63" s="75">
        <v>1</v>
      </c>
      <c r="J63" s="75">
        <v>1</v>
      </c>
      <c r="K63" s="75">
        <v>1</v>
      </c>
      <c r="L63" s="75">
        <v>1</v>
      </c>
      <c r="M63" s="135" t="s">
        <v>139</v>
      </c>
      <c r="N63" s="157">
        <f>(G63+H63+L63)/SUM(G63:L63)*VLOOKUP(E63,Introduction!$C$44:$F$47,4,)</f>
        <v>6.0105184072126224E-3</v>
      </c>
      <c r="O63" s="157">
        <f>(G63+L63)/SUM(G63:L63)*VLOOKUP(E63,Introduction!$C$44:$F$47,4,0)</f>
        <v>1.5026296018031556E-3</v>
      </c>
    </row>
    <row r="64" spans="1:15">
      <c r="A64" s="75">
        <v>17</v>
      </c>
      <c r="B64" s="131" t="s">
        <v>149</v>
      </c>
      <c r="C64" s="131" t="s">
        <v>145</v>
      </c>
      <c r="D64" s="132" t="s">
        <v>152</v>
      </c>
      <c r="E64" s="133" t="s">
        <v>137</v>
      </c>
      <c r="F64" s="131" t="s">
        <v>138</v>
      </c>
      <c r="G64" s="75">
        <v>1</v>
      </c>
      <c r="H64" s="75">
        <v>0</v>
      </c>
      <c r="I64" s="75">
        <v>1</v>
      </c>
      <c r="J64" s="75">
        <v>1</v>
      </c>
      <c r="K64" s="75">
        <v>1</v>
      </c>
      <c r="L64" s="75">
        <v>1</v>
      </c>
      <c r="M64" s="135" t="s">
        <v>139</v>
      </c>
      <c r="N64" s="157">
        <f>(G64+H64+L64)/SUM(G64:L64)*VLOOKUP(E64,Introduction!$C$44:$F$47,4,)</f>
        <v>1.6528925619834711E-2</v>
      </c>
      <c r="O64" s="157">
        <f>(G64+L64)/SUM(G64:L64)*VLOOKUP(E64,Introduction!$C$44:$F$47,4,0)</f>
        <v>1.6528925619834711E-2</v>
      </c>
    </row>
    <row r="65" spans="1:15">
      <c r="A65" s="75">
        <v>18</v>
      </c>
      <c r="B65" s="131" t="s">
        <v>149</v>
      </c>
      <c r="C65" s="131" t="s">
        <v>145</v>
      </c>
      <c r="D65" s="132" t="s">
        <v>152</v>
      </c>
      <c r="E65" s="133" t="s">
        <v>150</v>
      </c>
      <c r="F65" s="131" t="s">
        <v>138</v>
      </c>
      <c r="G65" s="75">
        <v>1</v>
      </c>
      <c r="H65" s="75">
        <v>4</v>
      </c>
      <c r="I65" s="75">
        <v>1</v>
      </c>
      <c r="J65" s="75">
        <v>1</v>
      </c>
      <c r="K65" s="75">
        <v>1</v>
      </c>
      <c r="L65" s="75">
        <v>1</v>
      </c>
      <c r="M65" s="135" t="s">
        <v>139</v>
      </c>
      <c r="N65" s="157">
        <f>(G65+H65+L65)/SUM(G65:L65)*VLOOKUP(E65,Introduction!$C$44:$F$47,4,)</f>
        <v>5.5096418732782371E-2</v>
      </c>
      <c r="O65" s="157">
        <f>(G65+L65)/SUM(G65:L65)*VLOOKUP(E65,Introduction!$C$44:$F$47,4,0)</f>
        <v>1.8365472910927456E-2</v>
      </c>
    </row>
    <row r="66" spans="1:15">
      <c r="A66" s="75">
        <v>19</v>
      </c>
      <c r="B66" s="131" t="s">
        <v>149</v>
      </c>
      <c r="C66" s="131" t="s">
        <v>145</v>
      </c>
      <c r="D66" s="136" t="s">
        <v>153</v>
      </c>
      <c r="E66" s="133" t="s">
        <v>137</v>
      </c>
      <c r="F66" s="131" t="s">
        <v>138</v>
      </c>
      <c r="G66" s="75">
        <v>1</v>
      </c>
      <c r="H66" s="75">
        <v>0</v>
      </c>
      <c r="I66" s="75">
        <v>1</v>
      </c>
      <c r="J66" s="75">
        <v>1</v>
      </c>
      <c r="K66" s="75">
        <v>1</v>
      </c>
      <c r="L66" s="75">
        <v>1</v>
      </c>
      <c r="M66" s="135" t="s">
        <v>141</v>
      </c>
      <c r="N66" s="157">
        <f>(G66+H66+L66)/SUM(G66:L66)*VLOOKUP(E66,Introduction!$C$44:$F$47,4,)</f>
        <v>1.6528925619834711E-2</v>
      </c>
      <c r="O66" s="157">
        <f>(G66+L66)/SUM(G66:L66)*VLOOKUP(E66,Introduction!$C$44:$F$47,4,0)</f>
        <v>1.6528925619834711E-2</v>
      </c>
    </row>
    <row r="67" spans="1:15">
      <c r="A67" s="75">
        <v>20</v>
      </c>
      <c r="B67" s="131" t="s">
        <v>149</v>
      </c>
      <c r="C67" s="131" t="s">
        <v>145</v>
      </c>
      <c r="D67" s="136" t="s">
        <v>153</v>
      </c>
      <c r="E67" s="133" t="s">
        <v>150</v>
      </c>
      <c r="F67" s="131" t="s">
        <v>138</v>
      </c>
      <c r="G67" s="75">
        <v>1</v>
      </c>
      <c r="H67" s="75">
        <v>0</v>
      </c>
      <c r="I67" s="75">
        <v>1</v>
      </c>
      <c r="J67" s="75">
        <v>1</v>
      </c>
      <c r="K67" s="75">
        <v>1</v>
      </c>
      <c r="L67" s="75">
        <v>1</v>
      </c>
      <c r="M67" s="135" t="s">
        <v>139</v>
      </c>
      <c r="N67" s="157">
        <f>(G67+H67+L67)/SUM(G67:L67)*VLOOKUP(E67,Introduction!$C$44:$F$47,4,)</f>
        <v>3.3057851239669422E-2</v>
      </c>
      <c r="O67" s="157">
        <f>(G67+L67)/SUM(G67:L67)*VLOOKUP(E67,Introduction!$C$44:$F$47,4,0)</f>
        <v>3.3057851239669422E-2</v>
      </c>
    </row>
    <row r="68" spans="1:15">
      <c r="A68" s="75">
        <v>21</v>
      </c>
      <c r="B68" s="131" t="s">
        <v>149</v>
      </c>
      <c r="C68" s="131" t="s">
        <v>145</v>
      </c>
      <c r="D68" s="136" t="s">
        <v>153</v>
      </c>
      <c r="E68" s="133" t="s">
        <v>137</v>
      </c>
      <c r="F68" s="131" t="s">
        <v>138</v>
      </c>
      <c r="G68" s="75">
        <v>1</v>
      </c>
      <c r="H68" s="75">
        <v>0</v>
      </c>
      <c r="I68" s="75">
        <v>1</v>
      </c>
      <c r="J68" s="75">
        <v>1</v>
      </c>
      <c r="K68" s="75">
        <v>0</v>
      </c>
      <c r="L68" s="75">
        <v>1</v>
      </c>
      <c r="M68" s="135" t="s">
        <v>139</v>
      </c>
      <c r="N68" s="157">
        <f>(G68+H68+L68)/SUM(G68:L68)*VLOOKUP(E68,Introduction!$C$44:$F$47,4,)</f>
        <v>2.0661157024793389E-2</v>
      </c>
      <c r="O68" s="157">
        <f>(G68+L68)/SUM(G68:L68)*VLOOKUP(E68,Introduction!$C$44:$F$47,4,0)</f>
        <v>2.0661157024793389E-2</v>
      </c>
    </row>
    <row r="69" spans="1:15">
      <c r="A69" s="75">
        <v>22</v>
      </c>
      <c r="B69" s="131" t="s">
        <v>149</v>
      </c>
      <c r="C69" s="131" t="s">
        <v>145</v>
      </c>
      <c r="D69" s="136" t="s">
        <v>153</v>
      </c>
      <c r="E69" s="133" t="s">
        <v>146</v>
      </c>
      <c r="F69" s="131" t="s">
        <v>138</v>
      </c>
      <c r="G69" s="75">
        <v>1</v>
      </c>
      <c r="H69" s="75">
        <v>0</v>
      </c>
      <c r="I69" s="75">
        <v>1</v>
      </c>
      <c r="J69" s="75">
        <v>1</v>
      </c>
      <c r="K69" s="75">
        <v>0</v>
      </c>
      <c r="L69" s="75">
        <v>1</v>
      </c>
      <c r="M69" s="135" t="s">
        <v>139</v>
      </c>
      <c r="N69" s="157">
        <f>(G69+H69+L69)/SUM(G69:L69)*VLOOKUP(E69,Introduction!$C$44:$F$47,4,)</f>
        <v>4.1322314049586778E-3</v>
      </c>
      <c r="O69" s="157">
        <f>(G69+L69)/SUM(G69:L69)*VLOOKUP(E69,Introduction!$C$44:$F$47,4,0)</f>
        <v>4.1322314049586778E-3</v>
      </c>
    </row>
    <row r="70" spans="1:15">
      <c r="A70" s="75">
        <v>23</v>
      </c>
      <c r="B70" s="131" t="s">
        <v>149</v>
      </c>
      <c r="C70" s="131" t="s">
        <v>145</v>
      </c>
      <c r="D70" s="136" t="s">
        <v>153</v>
      </c>
      <c r="E70" s="133" t="s">
        <v>146</v>
      </c>
      <c r="F70" s="131" t="s">
        <v>138</v>
      </c>
      <c r="G70" s="75">
        <v>1</v>
      </c>
      <c r="H70" s="75">
        <v>0</v>
      </c>
      <c r="I70" s="75">
        <v>1</v>
      </c>
      <c r="J70" s="75">
        <v>1</v>
      </c>
      <c r="K70" s="75">
        <v>0</v>
      </c>
      <c r="L70" s="75">
        <v>1</v>
      </c>
      <c r="M70" s="135" t="s">
        <v>139</v>
      </c>
      <c r="N70" s="157">
        <f>(G70+H70+L70)/SUM(G70:L70)*VLOOKUP(E70,Introduction!$C$44:$F$47,4,)</f>
        <v>4.1322314049586778E-3</v>
      </c>
      <c r="O70" s="157">
        <f>(G70+L70)/SUM(G70:L70)*VLOOKUP(E70,Introduction!$C$44:$F$47,4,0)</f>
        <v>4.1322314049586778E-3</v>
      </c>
    </row>
    <row r="71" spans="1:15">
      <c r="A71" s="75">
        <v>24</v>
      </c>
      <c r="B71" s="131" t="s">
        <v>149</v>
      </c>
      <c r="C71" s="131" t="s">
        <v>145</v>
      </c>
      <c r="D71" s="136" t="s">
        <v>153</v>
      </c>
      <c r="E71" s="133" t="s">
        <v>137</v>
      </c>
      <c r="F71" s="131" t="s">
        <v>138</v>
      </c>
      <c r="G71" s="75">
        <v>1</v>
      </c>
      <c r="H71" s="75">
        <v>0</v>
      </c>
      <c r="I71" s="75">
        <v>1</v>
      </c>
      <c r="J71" s="75">
        <v>1</v>
      </c>
      <c r="K71" s="75">
        <v>0</v>
      </c>
      <c r="L71" s="75">
        <v>1</v>
      </c>
      <c r="M71" s="135" t="s">
        <v>139</v>
      </c>
      <c r="N71" s="157">
        <f>(G71+H71+L71)/SUM(G71:L71)*VLOOKUP(E71,Introduction!$C$44:$F$47,4,)</f>
        <v>2.0661157024793389E-2</v>
      </c>
      <c r="O71" s="157">
        <f>(G71+L71)/SUM(G71:L71)*VLOOKUP(E71,Introduction!$C$44:$F$47,4,0)</f>
        <v>2.0661157024793389E-2</v>
      </c>
    </row>
    <row r="72" spans="1:15">
      <c r="A72" s="77">
        <v>25</v>
      </c>
      <c r="B72" s="131" t="s">
        <v>149</v>
      </c>
      <c r="C72" s="131" t="s">
        <v>145</v>
      </c>
      <c r="D72" s="136" t="s">
        <v>153</v>
      </c>
      <c r="E72" s="133" t="s">
        <v>146</v>
      </c>
      <c r="F72" s="131" t="s">
        <v>138</v>
      </c>
      <c r="G72" s="75">
        <v>1</v>
      </c>
      <c r="H72" s="75">
        <v>0</v>
      </c>
      <c r="I72" s="75">
        <v>1</v>
      </c>
      <c r="J72" s="75">
        <v>1</v>
      </c>
      <c r="K72" s="75">
        <v>0</v>
      </c>
      <c r="L72" s="75">
        <v>1</v>
      </c>
      <c r="M72" s="135" t="s">
        <v>141</v>
      </c>
      <c r="N72" s="157">
        <f>(G72+H72+L72)/SUM(G72:L72)*VLOOKUP(E72,Introduction!$C$44:$F$47,4,)</f>
        <v>4.1322314049586778E-3</v>
      </c>
      <c r="O72" s="157">
        <f>(G72+L72)/SUM(G72:L72)*VLOOKUP(E72,Introduction!$C$44:$F$47,4,0)</f>
        <v>4.1322314049586778E-3</v>
      </c>
    </row>
    <row r="73" spans="1:15">
      <c r="A73" s="77">
        <v>26</v>
      </c>
      <c r="B73" s="131" t="s">
        <v>149</v>
      </c>
      <c r="C73" s="131" t="s">
        <v>145</v>
      </c>
      <c r="D73" s="136" t="s">
        <v>153</v>
      </c>
      <c r="E73" s="133" t="s">
        <v>146</v>
      </c>
      <c r="F73" s="131" t="s">
        <v>138</v>
      </c>
      <c r="G73" s="75">
        <v>1</v>
      </c>
      <c r="H73" s="75">
        <v>0</v>
      </c>
      <c r="I73" s="75">
        <v>1</v>
      </c>
      <c r="J73" s="75">
        <v>1</v>
      </c>
      <c r="K73" s="75">
        <v>0</v>
      </c>
      <c r="L73" s="75">
        <v>1</v>
      </c>
      <c r="M73" s="135" t="s">
        <v>139</v>
      </c>
      <c r="N73" s="157">
        <f>(G73+H73+L73)/SUM(G73:L73)*VLOOKUP(E73,Introduction!$C$44:$F$47,4,)</f>
        <v>4.1322314049586778E-3</v>
      </c>
      <c r="O73" s="157">
        <f>(G73+L73)/SUM(G73:L73)*VLOOKUP(E73,Introduction!$C$44:$F$47,4,0)</f>
        <v>4.1322314049586778E-3</v>
      </c>
    </row>
    <row r="74" spans="1:15">
      <c r="M74" s="137"/>
      <c r="N74" s="137"/>
    </row>
    <row r="78" spans="1:15" ht="21.75" customHeight="1">
      <c r="B78" s="143" t="s">
        <v>154</v>
      </c>
      <c r="C78" s="32"/>
      <c r="D78" s="32"/>
      <c r="E78" s="32"/>
      <c r="F78" s="32"/>
      <c r="G78" s="46"/>
      <c r="H78" s="46"/>
    </row>
    <row r="80" spans="1:15" ht="23.25" customHeight="1">
      <c r="B80" s="146"/>
      <c r="C80" s="193" t="s">
        <v>445</v>
      </c>
      <c r="D80" s="193"/>
      <c r="E80" s="193" t="s">
        <v>48</v>
      </c>
      <c r="F80" s="193"/>
    </row>
    <row r="81" spans="2:6" ht="47.25" customHeight="1">
      <c r="B81" s="138" t="s">
        <v>155</v>
      </c>
      <c r="C81" s="138" t="s">
        <v>461</v>
      </c>
      <c r="D81" s="138" t="s">
        <v>462</v>
      </c>
      <c r="E81" s="138" t="s">
        <v>156</v>
      </c>
      <c r="F81" s="138" t="s">
        <v>157</v>
      </c>
    </row>
    <row r="82" spans="2:6">
      <c r="B82" s="139">
        <v>41488</v>
      </c>
      <c r="C82" s="77">
        <v>5</v>
      </c>
      <c r="D82" s="77">
        <v>2</v>
      </c>
      <c r="E82" s="77">
        <v>0</v>
      </c>
      <c r="F82" s="77">
        <v>0</v>
      </c>
    </row>
    <row r="83" spans="2:6">
      <c r="B83" s="139">
        <v>41495</v>
      </c>
      <c r="C83" s="77">
        <v>20</v>
      </c>
      <c r="D83" s="77">
        <v>6</v>
      </c>
      <c r="E83" s="77">
        <v>0</v>
      </c>
      <c r="F83" s="77">
        <v>0</v>
      </c>
    </row>
    <row r="84" spans="2:6">
      <c r="B84" s="139">
        <v>41502</v>
      </c>
      <c r="C84" s="77">
        <v>40</v>
      </c>
      <c r="D84" s="77">
        <v>29</v>
      </c>
      <c r="E84" s="77">
        <v>0</v>
      </c>
      <c r="F84" s="77">
        <v>0</v>
      </c>
    </row>
    <row r="85" spans="2:6">
      <c r="B85" s="139">
        <v>41509</v>
      </c>
      <c r="C85" s="77">
        <v>60</v>
      </c>
      <c r="D85" s="77">
        <v>45</v>
      </c>
      <c r="E85" s="77">
        <v>0</v>
      </c>
      <c r="F85" s="77">
        <v>0</v>
      </c>
    </row>
    <row r="86" spans="2:6">
      <c r="B86" s="139">
        <f>B85+7</f>
        <v>41516</v>
      </c>
      <c r="C86" s="77">
        <v>80</v>
      </c>
      <c r="D86" s="77">
        <v>40</v>
      </c>
      <c r="E86" s="77">
        <v>0</v>
      </c>
      <c r="F86" s="77">
        <v>0</v>
      </c>
    </row>
    <row r="87" spans="2:6">
      <c r="B87" s="139">
        <f t="shared" ref="B87:B94" si="0">B86+7</f>
        <v>41523</v>
      </c>
      <c r="C87" s="77">
        <v>120</v>
      </c>
      <c r="D87" s="77">
        <v>49</v>
      </c>
      <c r="E87" s="77">
        <v>0</v>
      </c>
      <c r="F87" s="77">
        <v>0</v>
      </c>
    </row>
    <row r="88" spans="2:6">
      <c r="B88" s="139">
        <f t="shared" si="0"/>
        <v>41530</v>
      </c>
      <c r="C88" s="77">
        <v>150</v>
      </c>
      <c r="D88" s="77">
        <v>50</v>
      </c>
      <c r="E88" s="77">
        <v>0</v>
      </c>
      <c r="F88" s="77">
        <v>0</v>
      </c>
    </row>
    <row r="89" spans="2:6">
      <c r="B89" s="139">
        <f t="shared" si="0"/>
        <v>41537</v>
      </c>
      <c r="C89" s="77">
        <v>155</v>
      </c>
      <c r="D89" s="77">
        <v>59</v>
      </c>
      <c r="E89" s="77">
        <v>0</v>
      </c>
      <c r="F89" s="77">
        <v>0</v>
      </c>
    </row>
    <row r="90" spans="2:6">
      <c r="B90" s="139">
        <f t="shared" si="0"/>
        <v>41544</v>
      </c>
      <c r="C90" s="77">
        <v>179</v>
      </c>
      <c r="D90" s="77">
        <v>70</v>
      </c>
      <c r="E90" s="77">
        <v>0</v>
      </c>
      <c r="F90" s="77">
        <v>0</v>
      </c>
    </row>
    <row r="91" spans="2:6">
      <c r="B91" s="139">
        <f t="shared" si="0"/>
        <v>41551</v>
      </c>
      <c r="C91" s="77">
        <v>200</v>
      </c>
      <c r="D91" s="77">
        <v>140</v>
      </c>
      <c r="E91" s="77">
        <v>12</v>
      </c>
      <c r="F91" s="77">
        <v>4</v>
      </c>
    </row>
    <row r="92" spans="2:6">
      <c r="B92" s="139">
        <f t="shared" si="0"/>
        <v>41558</v>
      </c>
      <c r="C92" s="77">
        <v>202</v>
      </c>
      <c r="D92" s="77">
        <v>160</v>
      </c>
      <c r="E92" s="77">
        <v>20</v>
      </c>
      <c r="F92" s="77">
        <v>9</v>
      </c>
    </row>
    <row r="93" spans="2:6">
      <c r="B93" s="139">
        <f t="shared" si="0"/>
        <v>41565</v>
      </c>
      <c r="C93" s="77">
        <v>206</v>
      </c>
      <c r="D93" s="77">
        <v>200</v>
      </c>
      <c r="E93" s="77">
        <v>30</v>
      </c>
      <c r="F93" s="77">
        <v>15</v>
      </c>
    </row>
    <row r="94" spans="2:6">
      <c r="B94" s="139">
        <f t="shared" si="0"/>
        <v>41572</v>
      </c>
      <c r="C94" s="77">
        <v>230</v>
      </c>
      <c r="D94" s="77">
        <v>225</v>
      </c>
      <c r="E94" s="77">
        <v>45</v>
      </c>
      <c r="F94" s="77">
        <v>44</v>
      </c>
    </row>
    <row r="95" spans="2:6">
      <c r="B95" s="140"/>
      <c r="C95" s="141"/>
      <c r="D95" s="141"/>
      <c r="E95" s="141"/>
      <c r="F95" s="141"/>
    </row>
    <row r="96" spans="2:6" ht="18.75" customHeight="1">
      <c r="B96" s="33"/>
    </row>
    <row r="97" spans="2:2">
      <c r="B97" s="142"/>
    </row>
    <row r="98" spans="2:2">
      <c r="B98" s="142"/>
    </row>
    <row r="99" spans="2:2">
      <c r="B99" s="142"/>
    </row>
    <row r="100" spans="2:2">
      <c r="B100" s="142"/>
    </row>
    <row r="101" spans="2:2">
      <c r="B101" s="142"/>
    </row>
    <row r="102" spans="2:2">
      <c r="B102" s="142"/>
    </row>
    <row r="103" spans="2:2">
      <c r="B103" s="142"/>
    </row>
    <row r="104" spans="2:2">
      <c r="B104" s="142"/>
    </row>
  </sheetData>
  <mergeCells count="33">
    <mergeCell ref="C2:G2"/>
    <mergeCell ref="C3:D3"/>
    <mergeCell ref="C24:D24"/>
    <mergeCell ref="A46:A47"/>
    <mergeCell ref="B46:B47"/>
    <mergeCell ref="C46:C47"/>
    <mergeCell ref="D46:D47"/>
    <mergeCell ref="C29:D29"/>
    <mergeCell ref="F13:H13"/>
    <mergeCell ref="F14:H14"/>
    <mergeCell ref="F15:H15"/>
    <mergeCell ref="F16:H16"/>
    <mergeCell ref="C23:D23"/>
    <mergeCell ref="A7:B7"/>
    <mergeCell ref="A8:B8"/>
    <mergeCell ref="A9:B9"/>
    <mergeCell ref="E46:E47"/>
    <mergeCell ref="C30:D30"/>
    <mergeCell ref="N46:O46"/>
    <mergeCell ref="C80:D80"/>
    <mergeCell ref="E80:F80"/>
    <mergeCell ref="C32:D32"/>
    <mergeCell ref="F46:F47"/>
    <mergeCell ref="G46:L46"/>
    <mergeCell ref="C33:D33"/>
    <mergeCell ref="C25:D25"/>
    <mergeCell ref="C31:D31"/>
    <mergeCell ref="C22:D22"/>
    <mergeCell ref="F3:G3"/>
    <mergeCell ref="E22:G22"/>
    <mergeCell ref="E23:G23"/>
    <mergeCell ref="E24:G24"/>
    <mergeCell ref="E25:G25"/>
  </mergeCells>
  <conditionalFormatting sqref="F7">
    <cfRule type="expression" dxfId="5" priority="4">
      <formula>$F$7="AMBER"</formula>
    </cfRule>
    <cfRule type="expression" dxfId="4" priority="5">
      <formula>$F$7="RED"</formula>
    </cfRule>
    <cfRule type="expression" dxfId="3" priority="6">
      <formula>$F$7="GREEN"</formula>
    </cfRule>
  </conditionalFormatting>
  <conditionalFormatting sqref="H7">
    <cfRule type="expression" dxfId="2" priority="1">
      <formula>$H$7="AMBER"</formula>
    </cfRule>
    <cfRule type="expression" dxfId="1" priority="2">
      <formula>$H$7="RED"</formula>
    </cfRule>
    <cfRule type="expression" dxfId="0" priority="3">
      <formula>$H$7="GREEN"</formula>
    </cfRule>
  </conditionalFormatting>
  <dataValidations count="4">
    <dataValidation type="list" allowBlank="1" showInputMessage="1" showErrorMessage="1" sqref="M51:M73">
      <formula1>"Yes, No"</formula1>
    </dataValidation>
    <dataValidation type="list" allowBlank="1" showInputMessage="1" showErrorMessage="1" sqref="M48:M50">
      <formula1>"Yes,No"</formula1>
    </dataValidation>
    <dataValidation type="list" allowBlank="1" showInputMessage="1" showErrorMessage="1" sqref="D66:D73">
      <formula1>"GUI,End2End,Regression,Function"</formula1>
    </dataValidation>
    <dataValidation type="list" allowBlank="1" showInputMessage="1" showErrorMessage="1" sqref="F7 H7">
      <formula1>"RED,GREEN,AMBER"</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R150"/>
  <sheetViews>
    <sheetView showGridLines="0" zoomScaleNormal="100" workbookViewId="0">
      <selection activeCell="A2" sqref="A2:R2"/>
    </sheetView>
  </sheetViews>
  <sheetFormatPr defaultRowHeight="14.25"/>
  <cols>
    <col min="1" max="1" width="3.625" style="48" customWidth="1"/>
    <col min="2" max="2" width="4.625" style="48" customWidth="1"/>
    <col min="3" max="3" width="22.625" style="48" bestFit="1" customWidth="1"/>
    <col min="4" max="4" width="8.875" style="48" customWidth="1"/>
    <col min="5" max="7" width="1.5" style="48" customWidth="1"/>
    <col min="8" max="17" width="9" style="48"/>
    <col min="18" max="18" width="3.625" style="48" customWidth="1"/>
    <col min="19" max="16384" width="9" style="48"/>
  </cols>
  <sheetData>
    <row r="2" spans="1:18" s="6" customFormat="1" ht="33.75" customHeight="1">
      <c r="A2" s="178" t="s">
        <v>464</v>
      </c>
      <c r="B2" s="178"/>
      <c r="C2" s="178"/>
      <c r="D2" s="178"/>
      <c r="E2" s="178"/>
      <c r="F2" s="178"/>
      <c r="G2" s="178"/>
      <c r="H2" s="178"/>
      <c r="I2" s="178"/>
      <c r="J2" s="178"/>
      <c r="K2" s="178"/>
      <c r="L2" s="178"/>
      <c r="M2" s="178"/>
      <c r="N2" s="178"/>
      <c r="O2" s="178"/>
      <c r="P2" s="178"/>
      <c r="Q2" s="178"/>
      <c r="R2" s="178"/>
    </row>
    <row r="4" spans="1:18" ht="23.25">
      <c r="B4" s="147" t="s">
        <v>447</v>
      </c>
      <c r="C4" s="49"/>
    </row>
    <row r="5" spans="1:18" ht="15" thickBot="1"/>
    <row r="6" spans="1:18">
      <c r="A6" s="148"/>
      <c r="B6" s="149"/>
      <c r="C6" s="149"/>
      <c r="D6" s="149"/>
      <c r="E6" s="149"/>
      <c r="F6" s="149"/>
      <c r="G6" s="149"/>
      <c r="H6" s="149"/>
      <c r="I6" s="149"/>
      <c r="J6" s="149"/>
      <c r="K6" s="149"/>
      <c r="L6" s="149"/>
      <c r="M6" s="149"/>
      <c r="N6" s="149"/>
      <c r="O6" s="149"/>
      <c r="P6" s="149"/>
      <c r="Q6" s="149"/>
      <c r="R6" s="150"/>
    </row>
    <row r="7" spans="1:18">
      <c r="A7" s="155"/>
      <c r="B7" s="45"/>
      <c r="C7" s="45"/>
      <c r="D7" s="45"/>
      <c r="E7" s="45"/>
      <c r="F7" s="45"/>
      <c r="G7" s="45"/>
      <c r="H7" s="45"/>
      <c r="I7" s="45"/>
      <c r="J7" s="45"/>
      <c r="K7" s="45"/>
      <c r="L7" s="45"/>
      <c r="M7" s="45"/>
      <c r="N7" s="45"/>
      <c r="O7" s="45"/>
      <c r="P7" s="45"/>
      <c r="Q7" s="45"/>
      <c r="R7" s="151"/>
    </row>
    <row r="8" spans="1:18">
      <c r="A8" s="155"/>
      <c r="B8" s="64" t="s">
        <v>80</v>
      </c>
      <c r="C8" s="64" t="str">
        <f>DataList!B2</f>
        <v>Defect Type</v>
      </c>
      <c r="D8" s="64" t="s">
        <v>80</v>
      </c>
      <c r="E8" s="45"/>
      <c r="F8" s="45"/>
      <c r="G8" s="45"/>
      <c r="H8" s="45"/>
      <c r="I8" s="45"/>
      <c r="J8" s="45"/>
      <c r="K8" s="45"/>
      <c r="L8" s="45"/>
      <c r="M8" s="45"/>
      <c r="N8" s="45"/>
      <c r="O8" s="45"/>
      <c r="P8" s="45"/>
      <c r="Q8" s="45"/>
      <c r="R8" s="151"/>
    </row>
    <row r="9" spans="1:18">
      <c r="A9" s="155"/>
      <c r="B9" s="62">
        <v>1</v>
      </c>
      <c r="C9" s="63" t="str">
        <f>DataList!B3</f>
        <v>Functionality</v>
      </c>
      <c r="D9" s="62">
        <f>SUM(Summary!C4:E4)</f>
        <v>22</v>
      </c>
      <c r="E9" s="45"/>
      <c r="F9" s="45"/>
      <c r="G9" s="45"/>
      <c r="H9" s="45"/>
      <c r="I9" s="45"/>
      <c r="J9" s="45"/>
      <c r="K9" s="45"/>
      <c r="L9" s="45"/>
      <c r="M9" s="45"/>
      <c r="N9" s="45"/>
      <c r="O9" s="45"/>
      <c r="P9" s="45"/>
      <c r="Q9" s="45"/>
      <c r="R9" s="151"/>
    </row>
    <row r="10" spans="1:18">
      <c r="A10" s="155"/>
      <c r="B10" s="62">
        <v>2</v>
      </c>
      <c r="C10" s="63" t="str">
        <f>DataList!B4</f>
        <v>Documentation</v>
      </c>
      <c r="D10" s="62">
        <f>SUM(Summary!C5:E5)</f>
        <v>0</v>
      </c>
      <c r="E10" s="45"/>
      <c r="F10" s="45"/>
      <c r="G10" s="45"/>
      <c r="H10" s="45"/>
      <c r="I10" s="45"/>
      <c r="J10" s="45"/>
      <c r="K10" s="45"/>
      <c r="L10" s="45"/>
      <c r="M10" s="45"/>
      <c r="N10" s="45"/>
      <c r="O10" s="45"/>
      <c r="P10" s="45"/>
      <c r="Q10" s="45"/>
      <c r="R10" s="151"/>
    </row>
    <row r="11" spans="1:18">
      <c r="A11" s="155"/>
      <c r="B11" s="62">
        <v>3</v>
      </c>
      <c r="C11" s="63" t="str">
        <f>DataList!B5</f>
        <v>GUI</v>
      </c>
      <c r="D11" s="62">
        <f>SUM(Summary!C6:E6)</f>
        <v>0</v>
      </c>
      <c r="E11" s="45"/>
      <c r="F11" s="45"/>
      <c r="G11" s="45"/>
      <c r="H11" s="45"/>
      <c r="I11" s="45"/>
      <c r="J11" s="45"/>
      <c r="K11" s="45"/>
      <c r="L11" s="45"/>
      <c r="M11" s="45"/>
      <c r="N11" s="45"/>
      <c r="O11" s="45"/>
      <c r="P11" s="45"/>
      <c r="Q11" s="45"/>
      <c r="R11" s="151"/>
    </row>
    <row r="12" spans="1:18">
      <c r="A12" s="155"/>
      <c r="B12" s="62">
        <v>4</v>
      </c>
      <c r="C12" s="63" t="str">
        <f>DataList!B6</f>
        <v>Installation</v>
      </c>
      <c r="D12" s="62">
        <f>SUM(Summary!C7:E7)</f>
        <v>0</v>
      </c>
      <c r="E12" s="45"/>
      <c r="F12" s="45"/>
      <c r="G12" s="45"/>
      <c r="H12" s="45"/>
      <c r="I12" s="45"/>
      <c r="J12" s="45"/>
      <c r="K12" s="45"/>
      <c r="L12" s="45"/>
      <c r="M12" s="45"/>
      <c r="N12" s="45"/>
      <c r="O12" s="45"/>
      <c r="P12" s="45"/>
      <c r="Q12" s="45"/>
      <c r="R12" s="151"/>
    </row>
    <row r="13" spans="1:18">
      <c r="A13" s="155"/>
      <c r="B13" s="62">
        <v>5</v>
      </c>
      <c r="C13" s="63" t="str">
        <f>DataList!B7</f>
        <v>Performance</v>
      </c>
      <c r="D13" s="62">
        <f>SUM(Summary!C8:E8)</f>
        <v>0</v>
      </c>
      <c r="E13" s="45"/>
      <c r="F13" s="45"/>
      <c r="G13" s="45"/>
      <c r="H13" s="45"/>
      <c r="I13" s="45"/>
      <c r="J13" s="45"/>
      <c r="K13" s="45"/>
      <c r="L13" s="45"/>
      <c r="M13" s="45"/>
      <c r="N13" s="45"/>
      <c r="O13" s="45"/>
      <c r="P13" s="45"/>
      <c r="Q13" s="45"/>
      <c r="R13" s="151"/>
    </row>
    <row r="14" spans="1:18">
      <c r="A14" s="155"/>
      <c r="B14" s="62">
        <v>6</v>
      </c>
      <c r="C14" s="63" t="str">
        <f>DataList!B8</f>
        <v>Security</v>
      </c>
      <c r="D14" s="62">
        <f>SUM(Summary!C9:E9)</f>
        <v>0</v>
      </c>
      <c r="E14" s="45"/>
      <c r="F14" s="45"/>
      <c r="G14" s="45"/>
      <c r="H14" s="45"/>
      <c r="I14" s="45"/>
      <c r="J14" s="45"/>
      <c r="K14" s="45"/>
      <c r="L14" s="45"/>
      <c r="M14" s="45"/>
      <c r="N14" s="45"/>
      <c r="O14" s="45"/>
      <c r="P14" s="45"/>
      <c r="Q14" s="45"/>
      <c r="R14" s="151"/>
    </row>
    <row r="15" spans="1:18">
      <c r="A15" s="155"/>
      <c r="B15" s="62">
        <v>7</v>
      </c>
      <c r="C15" s="63" t="str">
        <f>DataList!B9</f>
        <v>Usability</v>
      </c>
      <c r="D15" s="62">
        <f>SUM(Summary!C10:E10)</f>
        <v>0</v>
      </c>
      <c r="E15" s="45"/>
      <c r="F15" s="45"/>
      <c r="G15" s="45"/>
      <c r="H15" s="45"/>
      <c r="I15" s="45"/>
      <c r="J15" s="45"/>
      <c r="K15" s="45"/>
      <c r="L15" s="45"/>
      <c r="M15" s="45"/>
      <c r="N15" s="45"/>
      <c r="O15" s="45"/>
      <c r="P15" s="45"/>
      <c r="Q15" s="45"/>
      <c r="R15" s="151"/>
    </row>
    <row r="16" spans="1:18">
      <c r="A16" s="155"/>
      <c r="B16" s="62">
        <v>8</v>
      </c>
      <c r="C16" s="63" t="str">
        <f>DataList!B10</f>
        <v>Others</v>
      </c>
      <c r="D16" s="62">
        <f>SUM(Summary!C11:E11)</f>
        <v>0</v>
      </c>
      <c r="E16" s="45"/>
      <c r="F16" s="45"/>
      <c r="G16" s="45"/>
      <c r="H16" s="45"/>
      <c r="I16" s="45"/>
      <c r="J16" s="45"/>
      <c r="K16" s="45"/>
      <c r="L16" s="45"/>
      <c r="M16" s="45"/>
      <c r="N16" s="45"/>
      <c r="O16" s="45"/>
      <c r="P16" s="45"/>
      <c r="Q16" s="45"/>
      <c r="R16" s="151"/>
    </row>
    <row r="17" spans="1:18">
      <c r="A17" s="155"/>
      <c r="B17" s="62">
        <v>9</v>
      </c>
      <c r="C17" s="63" t="str">
        <f>DataList!B11</f>
        <v>Architecture</v>
      </c>
      <c r="D17" s="62">
        <f>SUM(Summary!C12:E12)</f>
        <v>3</v>
      </c>
      <c r="E17" s="45"/>
      <c r="F17" s="45"/>
      <c r="G17" s="45"/>
      <c r="H17" s="45"/>
      <c r="I17" s="45"/>
      <c r="J17" s="45"/>
      <c r="K17" s="45"/>
      <c r="L17" s="45"/>
      <c r="M17" s="45"/>
      <c r="N17" s="45"/>
      <c r="O17" s="45"/>
      <c r="P17" s="45"/>
      <c r="Q17" s="45"/>
      <c r="R17" s="151"/>
    </row>
    <row r="18" spans="1:18">
      <c r="A18" s="155"/>
      <c r="B18" s="202" t="s">
        <v>79</v>
      </c>
      <c r="C18" s="202"/>
      <c r="D18" s="65">
        <f>SUM(D9:D17)</f>
        <v>25</v>
      </c>
      <c r="E18" s="45"/>
      <c r="F18" s="45"/>
      <c r="G18" s="45"/>
      <c r="H18" s="45"/>
      <c r="I18" s="45"/>
      <c r="J18" s="45"/>
      <c r="K18" s="45"/>
      <c r="L18" s="45"/>
      <c r="M18" s="45"/>
      <c r="N18" s="45"/>
      <c r="O18" s="45"/>
      <c r="P18" s="45"/>
      <c r="Q18" s="45"/>
      <c r="R18" s="151"/>
    </row>
    <row r="19" spans="1:18">
      <c r="A19" s="155"/>
      <c r="B19" s="45"/>
      <c r="C19" s="51"/>
      <c r="D19" s="51"/>
      <c r="E19" s="45"/>
      <c r="F19" s="45"/>
      <c r="G19" s="45"/>
      <c r="H19" s="45"/>
      <c r="I19" s="45"/>
      <c r="J19" s="45"/>
      <c r="K19" s="45"/>
      <c r="L19" s="45"/>
      <c r="M19" s="45"/>
      <c r="N19" s="45"/>
      <c r="O19" s="45"/>
      <c r="P19" s="45"/>
      <c r="Q19" s="45"/>
      <c r="R19" s="151"/>
    </row>
    <row r="20" spans="1:18">
      <c r="A20" s="155"/>
      <c r="B20" s="45"/>
      <c r="C20" s="51"/>
      <c r="D20" s="51"/>
      <c r="E20" s="45"/>
      <c r="F20" s="45"/>
      <c r="G20" s="45"/>
      <c r="H20" s="45"/>
      <c r="I20" s="45"/>
      <c r="J20" s="45"/>
      <c r="K20" s="45"/>
      <c r="L20" s="45"/>
      <c r="M20" s="45"/>
      <c r="N20" s="45"/>
      <c r="O20" s="45"/>
      <c r="P20" s="45"/>
      <c r="Q20" s="45"/>
      <c r="R20" s="151"/>
    </row>
    <row r="21" spans="1:18">
      <c r="A21" s="155"/>
      <c r="B21" s="45"/>
      <c r="C21" s="51"/>
      <c r="D21" s="51"/>
      <c r="E21" s="45"/>
      <c r="F21" s="45"/>
      <c r="G21" s="45"/>
      <c r="H21" s="45"/>
      <c r="I21" s="45"/>
      <c r="J21" s="45"/>
      <c r="K21" s="45"/>
      <c r="L21" s="45"/>
      <c r="M21" s="45"/>
      <c r="N21" s="45"/>
      <c r="O21" s="45"/>
      <c r="P21" s="45"/>
      <c r="Q21" s="45"/>
      <c r="R21" s="151"/>
    </row>
    <row r="22" spans="1:18">
      <c r="A22" s="155"/>
      <c r="B22" s="45"/>
      <c r="C22" s="51"/>
      <c r="D22" s="51"/>
      <c r="E22" s="45"/>
      <c r="F22" s="45"/>
      <c r="G22" s="45"/>
      <c r="H22" s="45"/>
      <c r="I22" s="45"/>
      <c r="J22" s="45"/>
      <c r="K22" s="45"/>
      <c r="L22" s="45"/>
      <c r="M22" s="45"/>
      <c r="N22" s="45"/>
      <c r="O22" s="45"/>
      <c r="P22" s="45"/>
      <c r="Q22" s="45"/>
      <c r="R22" s="151"/>
    </row>
    <row r="23" spans="1:18">
      <c r="A23" s="155"/>
      <c r="B23" s="45"/>
      <c r="C23" s="51"/>
      <c r="D23" s="51"/>
      <c r="E23" s="45"/>
      <c r="F23" s="45"/>
      <c r="G23" s="45"/>
      <c r="H23" s="45"/>
      <c r="I23" s="45"/>
      <c r="J23" s="45"/>
      <c r="K23" s="45"/>
      <c r="L23" s="45"/>
      <c r="M23" s="45"/>
      <c r="N23" s="45"/>
      <c r="O23" s="45"/>
      <c r="P23" s="45"/>
      <c r="Q23" s="45"/>
      <c r="R23" s="151"/>
    </row>
    <row r="24" spans="1:18">
      <c r="A24" s="155"/>
      <c r="B24" s="45"/>
      <c r="C24" s="51"/>
      <c r="D24" s="51"/>
      <c r="E24" s="45"/>
      <c r="F24" s="45"/>
      <c r="G24" s="45"/>
      <c r="H24" s="45"/>
      <c r="I24" s="45"/>
      <c r="J24" s="45"/>
      <c r="K24" s="45"/>
      <c r="L24" s="45"/>
      <c r="M24" s="45"/>
      <c r="N24" s="45"/>
      <c r="O24" s="45"/>
      <c r="P24" s="45"/>
      <c r="Q24" s="45"/>
      <c r="R24" s="151"/>
    </row>
    <row r="25" spans="1:18">
      <c r="A25" s="155"/>
      <c r="B25" s="45"/>
      <c r="C25" s="51"/>
      <c r="D25" s="51"/>
      <c r="E25" s="45"/>
      <c r="F25" s="45"/>
      <c r="G25" s="45"/>
      <c r="H25" s="45"/>
      <c r="I25" s="45"/>
      <c r="J25" s="45"/>
      <c r="K25" s="45"/>
      <c r="L25" s="45"/>
      <c r="M25" s="45"/>
      <c r="N25" s="45"/>
      <c r="O25" s="45"/>
      <c r="P25" s="45"/>
      <c r="Q25" s="45"/>
      <c r="R25" s="151"/>
    </row>
    <row r="26" spans="1:18">
      <c r="A26" s="155"/>
      <c r="B26" s="45"/>
      <c r="C26" s="45"/>
      <c r="D26" s="45"/>
      <c r="E26" s="45"/>
      <c r="F26" s="45"/>
      <c r="G26" s="45"/>
      <c r="H26" s="45"/>
      <c r="I26" s="45"/>
      <c r="J26" s="45"/>
      <c r="K26" s="45"/>
      <c r="L26" s="45"/>
      <c r="M26" s="45"/>
      <c r="N26" s="45"/>
      <c r="O26" s="45"/>
      <c r="P26" s="45"/>
      <c r="Q26" s="45"/>
      <c r="R26" s="151"/>
    </row>
    <row r="27" spans="1:18">
      <c r="A27" s="155"/>
      <c r="B27" s="45"/>
      <c r="C27" s="45"/>
      <c r="D27" s="45"/>
      <c r="E27" s="45"/>
      <c r="F27" s="45"/>
      <c r="G27" s="45"/>
      <c r="H27" s="45"/>
      <c r="I27" s="45"/>
      <c r="J27" s="45"/>
      <c r="K27" s="45"/>
      <c r="L27" s="45"/>
      <c r="M27" s="45"/>
      <c r="N27" s="45"/>
      <c r="O27" s="45"/>
      <c r="P27" s="45"/>
      <c r="Q27" s="45"/>
      <c r="R27" s="151"/>
    </row>
    <row r="28" spans="1:18">
      <c r="A28" s="155"/>
      <c r="B28" s="45"/>
      <c r="C28" s="45"/>
      <c r="D28" s="45"/>
      <c r="E28" s="45"/>
      <c r="F28" s="45"/>
      <c r="G28" s="45"/>
      <c r="H28" s="45"/>
      <c r="I28" s="45"/>
      <c r="J28" s="45"/>
      <c r="K28" s="45"/>
      <c r="L28" s="45"/>
      <c r="M28" s="45"/>
      <c r="N28" s="45"/>
      <c r="O28" s="45"/>
      <c r="P28" s="45"/>
      <c r="Q28" s="45"/>
      <c r="R28" s="151"/>
    </row>
    <row r="29" spans="1:18">
      <c r="A29" s="155"/>
      <c r="B29" s="45"/>
      <c r="C29" s="45"/>
      <c r="D29" s="45"/>
      <c r="E29" s="45"/>
      <c r="F29" s="45"/>
      <c r="G29" s="45"/>
      <c r="H29" s="45"/>
      <c r="I29" s="45"/>
      <c r="J29" s="45"/>
      <c r="K29" s="45"/>
      <c r="L29" s="45"/>
      <c r="M29" s="45"/>
      <c r="N29" s="45"/>
      <c r="O29" s="45"/>
      <c r="P29" s="45"/>
      <c r="Q29" s="45"/>
      <c r="R29" s="151"/>
    </row>
    <row r="30" spans="1:18">
      <c r="A30" s="155"/>
      <c r="B30" s="45"/>
      <c r="C30" s="45"/>
      <c r="D30" s="45"/>
      <c r="E30" s="45"/>
      <c r="F30" s="45"/>
      <c r="G30" s="45"/>
      <c r="H30" s="45"/>
      <c r="I30" s="45"/>
      <c r="J30" s="45"/>
      <c r="K30" s="45"/>
      <c r="L30" s="45"/>
      <c r="M30" s="45"/>
      <c r="N30" s="45"/>
      <c r="O30" s="45"/>
      <c r="P30" s="45"/>
      <c r="Q30" s="45"/>
      <c r="R30" s="151"/>
    </row>
    <row r="31" spans="1:18" ht="15" thickBot="1">
      <c r="A31" s="153"/>
      <c r="B31" s="154"/>
      <c r="C31" s="154"/>
      <c r="D31" s="154"/>
      <c r="E31" s="154"/>
      <c r="F31" s="154"/>
      <c r="G31" s="154"/>
      <c r="H31" s="154"/>
      <c r="I31" s="154"/>
      <c r="J31" s="154"/>
      <c r="K31" s="154"/>
      <c r="L31" s="154"/>
      <c r="M31" s="154"/>
      <c r="N31" s="154"/>
      <c r="O31" s="154"/>
      <c r="P31" s="154"/>
      <c r="Q31" s="154"/>
      <c r="R31" s="152"/>
    </row>
    <row r="34" spans="1:18" ht="23.25">
      <c r="B34" s="147" t="s">
        <v>448</v>
      </c>
    </row>
    <row r="35" spans="1:18" ht="15" thickBot="1"/>
    <row r="36" spans="1:18">
      <c r="A36" s="148"/>
      <c r="B36" s="149"/>
      <c r="C36" s="149"/>
      <c r="D36" s="149"/>
      <c r="E36" s="149"/>
      <c r="F36" s="149"/>
      <c r="G36" s="149"/>
      <c r="H36" s="149"/>
      <c r="I36" s="149"/>
      <c r="J36" s="149"/>
      <c r="K36" s="149"/>
      <c r="L36" s="149"/>
      <c r="M36" s="149"/>
      <c r="N36" s="149"/>
      <c r="O36" s="149"/>
      <c r="P36" s="149"/>
      <c r="Q36" s="149"/>
      <c r="R36" s="150"/>
    </row>
    <row r="37" spans="1:18">
      <c r="A37" s="50"/>
      <c r="B37" s="45"/>
      <c r="C37" s="45"/>
      <c r="D37" s="45"/>
      <c r="E37" s="45"/>
      <c r="F37" s="45"/>
      <c r="G37" s="45"/>
      <c r="H37" s="45"/>
      <c r="I37" s="45"/>
      <c r="J37" s="45"/>
      <c r="K37" s="45"/>
      <c r="L37" s="45"/>
      <c r="M37" s="45"/>
      <c r="N37" s="45"/>
      <c r="O37" s="45"/>
      <c r="P37" s="45"/>
      <c r="Q37" s="45"/>
      <c r="R37" s="151"/>
    </row>
    <row r="38" spans="1:18">
      <c r="A38" s="50"/>
      <c r="B38" s="64" t="s">
        <v>80</v>
      </c>
      <c r="C38" s="64" t="str">
        <f>DataList!C2</f>
        <v>Detected Time</v>
      </c>
      <c r="D38" s="64" t="s">
        <v>80</v>
      </c>
      <c r="E38" s="45"/>
      <c r="F38" s="45"/>
      <c r="G38" s="45"/>
      <c r="H38" s="45"/>
      <c r="I38" s="45"/>
      <c r="J38" s="45"/>
      <c r="K38" s="45"/>
      <c r="L38" s="45"/>
      <c r="M38" s="45"/>
      <c r="N38" s="45"/>
      <c r="O38" s="45"/>
      <c r="P38" s="45"/>
      <c r="Q38" s="45"/>
      <c r="R38" s="151"/>
    </row>
    <row r="39" spans="1:18">
      <c r="A39" s="50"/>
      <c r="B39" s="65">
        <v>1</v>
      </c>
      <c r="C39" s="61" t="str">
        <f>Summary!F4</f>
        <v>Pre-release</v>
      </c>
      <c r="D39" s="66">
        <f>SUM(Summary!G4:I4)</f>
        <v>22</v>
      </c>
      <c r="E39" s="45"/>
      <c r="F39" s="45"/>
      <c r="G39" s="45"/>
      <c r="H39" s="45"/>
      <c r="I39" s="45"/>
      <c r="J39" s="45"/>
      <c r="K39" s="45"/>
      <c r="L39" s="45"/>
      <c r="M39" s="45"/>
      <c r="N39" s="45"/>
      <c r="O39" s="45"/>
      <c r="P39" s="45"/>
      <c r="Q39" s="45"/>
      <c r="R39" s="151"/>
    </row>
    <row r="40" spans="1:18">
      <c r="A40" s="50"/>
      <c r="B40" s="65">
        <v>2</v>
      </c>
      <c r="C40" s="61" t="s">
        <v>42</v>
      </c>
      <c r="D40" s="66">
        <f>SUM(Summary!G5:I5)</f>
        <v>6</v>
      </c>
      <c r="E40" s="45"/>
      <c r="F40" s="45"/>
      <c r="G40" s="45"/>
      <c r="H40" s="45"/>
      <c r="I40" s="45"/>
      <c r="J40" s="45"/>
      <c r="K40" s="45"/>
      <c r="L40" s="45"/>
      <c r="M40" s="45"/>
      <c r="N40" s="45"/>
      <c r="O40" s="45"/>
      <c r="P40" s="45"/>
      <c r="Q40" s="45"/>
      <c r="R40" s="151"/>
    </row>
    <row r="41" spans="1:18">
      <c r="A41" s="50"/>
      <c r="B41" s="202" t="s">
        <v>79</v>
      </c>
      <c r="C41" s="202"/>
      <c r="D41" s="65">
        <f>SUM(D26:D40)</f>
        <v>28</v>
      </c>
      <c r="E41" s="45"/>
      <c r="F41" s="45"/>
      <c r="G41" s="45"/>
      <c r="H41" s="45"/>
      <c r="I41" s="45"/>
      <c r="J41" s="45"/>
      <c r="K41" s="45"/>
      <c r="L41" s="45"/>
      <c r="M41" s="45"/>
      <c r="N41" s="45"/>
      <c r="O41" s="45"/>
      <c r="P41" s="45"/>
      <c r="Q41" s="45"/>
      <c r="R41" s="151"/>
    </row>
    <row r="42" spans="1:18">
      <c r="A42" s="50"/>
      <c r="B42" s="45"/>
      <c r="C42" s="45"/>
      <c r="D42" s="45"/>
      <c r="E42" s="45"/>
      <c r="F42" s="45"/>
      <c r="G42" s="45"/>
      <c r="H42" s="45"/>
      <c r="I42" s="45"/>
      <c r="J42" s="45"/>
      <c r="K42" s="45"/>
      <c r="L42" s="45"/>
      <c r="M42" s="45"/>
      <c r="N42" s="45"/>
      <c r="O42" s="45"/>
      <c r="P42" s="45"/>
      <c r="Q42" s="45"/>
      <c r="R42" s="151"/>
    </row>
    <row r="43" spans="1:18">
      <c r="A43" s="50"/>
      <c r="B43" s="45"/>
      <c r="C43" s="45"/>
      <c r="D43" s="45"/>
      <c r="E43" s="45"/>
      <c r="F43" s="45"/>
      <c r="G43" s="45"/>
      <c r="H43" s="45"/>
      <c r="I43" s="45"/>
      <c r="J43" s="45"/>
      <c r="K43" s="45"/>
      <c r="L43" s="45"/>
      <c r="M43" s="45"/>
      <c r="N43" s="45"/>
      <c r="O43" s="45"/>
      <c r="P43" s="45"/>
      <c r="Q43" s="45"/>
      <c r="R43" s="151"/>
    </row>
    <row r="44" spans="1:18">
      <c r="A44" s="50"/>
      <c r="B44" s="45"/>
      <c r="C44" s="45"/>
      <c r="D44" s="45"/>
      <c r="E44" s="45"/>
      <c r="F44" s="45"/>
      <c r="G44" s="45"/>
      <c r="H44" s="45"/>
      <c r="I44" s="45"/>
      <c r="J44" s="45"/>
      <c r="K44" s="45"/>
      <c r="L44" s="45"/>
      <c r="M44" s="45"/>
      <c r="N44" s="45"/>
      <c r="O44" s="45"/>
      <c r="P44" s="45"/>
      <c r="Q44" s="45"/>
      <c r="R44" s="151"/>
    </row>
    <row r="45" spans="1:18">
      <c r="A45" s="50"/>
      <c r="B45" s="45"/>
      <c r="C45" s="45"/>
      <c r="D45" s="45"/>
      <c r="E45" s="45"/>
      <c r="F45" s="45"/>
      <c r="G45" s="45"/>
      <c r="H45" s="45"/>
      <c r="I45" s="45"/>
      <c r="J45" s="45"/>
      <c r="K45" s="45"/>
      <c r="L45" s="45"/>
      <c r="M45" s="45"/>
      <c r="N45" s="45"/>
      <c r="O45" s="45"/>
      <c r="P45" s="45"/>
      <c r="Q45" s="45"/>
      <c r="R45" s="151"/>
    </row>
    <row r="46" spans="1:18">
      <c r="A46" s="50"/>
      <c r="B46" s="45"/>
      <c r="C46" s="45"/>
      <c r="D46" s="45"/>
      <c r="E46" s="45"/>
      <c r="F46" s="45"/>
      <c r="G46" s="45"/>
      <c r="H46" s="45"/>
      <c r="I46" s="45"/>
      <c r="J46" s="45"/>
      <c r="K46" s="45"/>
      <c r="L46" s="45"/>
      <c r="M46" s="45"/>
      <c r="N46" s="45"/>
      <c r="O46" s="45"/>
      <c r="P46" s="45"/>
      <c r="Q46" s="45"/>
      <c r="R46" s="151"/>
    </row>
    <row r="47" spans="1:18">
      <c r="A47" s="50"/>
      <c r="B47" s="45"/>
      <c r="C47" s="45"/>
      <c r="D47" s="45"/>
      <c r="E47" s="45"/>
      <c r="F47" s="45"/>
      <c r="G47" s="45"/>
      <c r="H47" s="45"/>
      <c r="I47" s="45"/>
      <c r="J47" s="45"/>
      <c r="K47" s="45"/>
      <c r="L47" s="45"/>
      <c r="M47" s="45"/>
      <c r="N47" s="45"/>
      <c r="O47" s="45"/>
      <c r="P47" s="45"/>
      <c r="Q47" s="45"/>
      <c r="R47" s="151"/>
    </row>
    <row r="48" spans="1:18">
      <c r="A48" s="50"/>
      <c r="B48" s="45"/>
      <c r="C48" s="45"/>
      <c r="D48" s="45"/>
      <c r="E48" s="45"/>
      <c r="F48" s="45"/>
      <c r="G48" s="45"/>
      <c r="H48" s="45"/>
      <c r="I48" s="45"/>
      <c r="J48" s="45"/>
      <c r="K48" s="45"/>
      <c r="L48" s="45"/>
      <c r="M48" s="45"/>
      <c r="N48" s="45"/>
      <c r="O48" s="45"/>
      <c r="P48" s="45"/>
      <c r="Q48" s="45"/>
      <c r="R48" s="151"/>
    </row>
    <row r="49" spans="1:18">
      <c r="A49" s="50"/>
      <c r="B49" s="45"/>
      <c r="C49" s="45"/>
      <c r="D49" s="45"/>
      <c r="E49" s="45"/>
      <c r="F49" s="45"/>
      <c r="G49" s="45"/>
      <c r="H49" s="45"/>
      <c r="I49" s="45"/>
      <c r="J49" s="45"/>
      <c r="K49" s="45"/>
      <c r="L49" s="45"/>
      <c r="M49" s="45"/>
      <c r="N49" s="45"/>
      <c r="O49" s="45"/>
      <c r="P49" s="45"/>
      <c r="Q49" s="45"/>
      <c r="R49" s="151"/>
    </row>
    <row r="50" spans="1:18">
      <c r="A50" s="50"/>
      <c r="B50" s="45"/>
      <c r="C50" s="45"/>
      <c r="D50" s="45"/>
      <c r="E50" s="45"/>
      <c r="F50" s="45"/>
      <c r="G50" s="45"/>
      <c r="H50" s="45"/>
      <c r="I50" s="45"/>
      <c r="J50" s="45"/>
      <c r="K50" s="45"/>
      <c r="L50" s="45"/>
      <c r="M50" s="45"/>
      <c r="N50" s="45"/>
      <c r="O50" s="45"/>
      <c r="P50" s="45"/>
      <c r="Q50" s="45"/>
      <c r="R50" s="151"/>
    </row>
    <row r="51" spans="1:18">
      <c r="A51" s="50"/>
      <c r="B51" s="45"/>
      <c r="C51" s="45"/>
      <c r="D51" s="45"/>
      <c r="E51" s="45"/>
      <c r="F51" s="45"/>
      <c r="G51" s="45"/>
      <c r="H51" s="45"/>
      <c r="I51" s="45"/>
      <c r="J51" s="45"/>
      <c r="K51" s="45"/>
      <c r="L51" s="45"/>
      <c r="M51" s="45"/>
      <c r="N51" s="45"/>
      <c r="O51" s="45"/>
      <c r="P51" s="45"/>
      <c r="Q51" s="45"/>
      <c r="R51" s="151"/>
    </row>
    <row r="52" spans="1:18">
      <c r="A52" s="50"/>
      <c r="B52" s="45"/>
      <c r="C52" s="45"/>
      <c r="D52" s="45"/>
      <c r="E52" s="45"/>
      <c r="F52" s="45"/>
      <c r="G52" s="45"/>
      <c r="H52" s="45"/>
      <c r="I52" s="45"/>
      <c r="J52" s="45"/>
      <c r="K52" s="45"/>
      <c r="L52" s="45"/>
      <c r="M52" s="45"/>
      <c r="N52" s="45"/>
      <c r="O52" s="45"/>
      <c r="P52" s="45"/>
      <c r="Q52" s="45"/>
      <c r="R52" s="151"/>
    </row>
    <row r="53" spans="1:18">
      <c r="A53" s="50"/>
      <c r="B53" s="45"/>
      <c r="C53" s="45"/>
      <c r="D53" s="45"/>
      <c r="E53" s="45"/>
      <c r="F53" s="45"/>
      <c r="G53" s="45"/>
      <c r="H53" s="45"/>
      <c r="I53" s="45"/>
      <c r="J53" s="45"/>
      <c r="K53" s="45"/>
      <c r="L53" s="45"/>
      <c r="M53" s="45"/>
      <c r="N53" s="45"/>
      <c r="O53" s="45"/>
      <c r="P53" s="45"/>
      <c r="Q53" s="45"/>
      <c r="R53" s="151"/>
    </row>
    <row r="54" spans="1:18">
      <c r="A54" s="50"/>
      <c r="B54" s="203"/>
      <c r="C54" s="203"/>
      <c r="D54" s="51"/>
      <c r="E54" s="45"/>
      <c r="F54" s="45"/>
      <c r="G54" s="45"/>
      <c r="H54" s="45"/>
      <c r="I54" s="45"/>
      <c r="J54" s="45"/>
      <c r="K54" s="45"/>
      <c r="L54" s="45"/>
      <c r="M54" s="45"/>
      <c r="N54" s="45"/>
      <c r="O54" s="45"/>
      <c r="P54" s="45"/>
      <c r="Q54" s="45"/>
      <c r="R54" s="151"/>
    </row>
    <row r="55" spans="1:18">
      <c r="A55" s="50"/>
      <c r="B55" s="45"/>
      <c r="C55" s="51"/>
      <c r="D55" s="51"/>
      <c r="E55" s="45"/>
      <c r="F55" s="45"/>
      <c r="G55" s="45"/>
      <c r="H55" s="45"/>
      <c r="I55" s="45"/>
      <c r="J55" s="45"/>
      <c r="K55" s="45"/>
      <c r="L55" s="45"/>
      <c r="M55" s="45"/>
      <c r="N55" s="45"/>
      <c r="O55" s="45"/>
      <c r="P55" s="45"/>
      <c r="Q55" s="45"/>
      <c r="R55" s="151"/>
    </row>
    <row r="56" spans="1:18">
      <c r="A56" s="50"/>
      <c r="B56" s="45"/>
      <c r="C56" s="45"/>
      <c r="D56" s="45"/>
      <c r="E56" s="45"/>
      <c r="F56" s="45"/>
      <c r="G56" s="45"/>
      <c r="H56" s="45"/>
      <c r="I56" s="45"/>
      <c r="J56" s="45"/>
      <c r="K56" s="45"/>
      <c r="L56" s="45"/>
      <c r="M56" s="45"/>
      <c r="N56" s="45"/>
      <c r="O56" s="45"/>
      <c r="P56" s="45"/>
      <c r="Q56" s="45"/>
      <c r="R56" s="151"/>
    </row>
    <row r="57" spans="1:18">
      <c r="A57" s="50"/>
      <c r="B57" s="45"/>
      <c r="C57" s="45"/>
      <c r="D57" s="45"/>
      <c r="E57" s="45"/>
      <c r="F57" s="45"/>
      <c r="G57" s="45"/>
      <c r="H57" s="45"/>
      <c r="I57" s="45"/>
      <c r="J57" s="45"/>
      <c r="K57" s="45"/>
      <c r="L57" s="45"/>
      <c r="M57" s="45"/>
      <c r="N57" s="45"/>
      <c r="O57" s="45"/>
      <c r="P57" s="45"/>
      <c r="Q57" s="45"/>
      <c r="R57" s="151"/>
    </row>
    <row r="58" spans="1:18">
      <c r="A58" s="50"/>
      <c r="B58" s="45"/>
      <c r="C58" s="45"/>
      <c r="D58" s="45"/>
      <c r="E58" s="45"/>
      <c r="F58" s="45"/>
      <c r="G58" s="45"/>
      <c r="H58" s="45"/>
      <c r="I58" s="45"/>
      <c r="J58" s="45"/>
      <c r="K58" s="45"/>
      <c r="L58" s="45"/>
      <c r="M58" s="45"/>
      <c r="N58" s="45"/>
      <c r="O58" s="45"/>
      <c r="P58" s="45"/>
      <c r="Q58" s="45"/>
      <c r="R58" s="151"/>
    </row>
    <row r="59" spans="1:18">
      <c r="A59" s="50"/>
      <c r="B59" s="45"/>
      <c r="C59" s="45"/>
      <c r="D59" s="45"/>
      <c r="E59" s="45"/>
      <c r="F59" s="45"/>
      <c r="G59" s="45"/>
      <c r="H59" s="45"/>
      <c r="I59" s="45"/>
      <c r="J59" s="45"/>
      <c r="K59" s="45"/>
      <c r="L59" s="45"/>
      <c r="M59" s="45"/>
      <c r="N59" s="45"/>
      <c r="O59" s="45"/>
      <c r="P59" s="45"/>
      <c r="Q59" s="45"/>
      <c r="R59" s="151"/>
    </row>
    <row r="60" spans="1:18">
      <c r="A60" s="50"/>
      <c r="B60" s="45"/>
      <c r="C60" s="45"/>
      <c r="D60" s="45"/>
      <c r="E60" s="45"/>
      <c r="F60" s="45"/>
      <c r="G60" s="45"/>
      <c r="H60" s="45"/>
      <c r="I60" s="45"/>
      <c r="J60" s="45"/>
      <c r="K60" s="45"/>
      <c r="L60" s="45"/>
      <c r="M60" s="45"/>
      <c r="N60" s="45"/>
      <c r="O60" s="45"/>
      <c r="P60" s="45"/>
      <c r="Q60" s="45"/>
      <c r="R60" s="151"/>
    </row>
    <row r="61" spans="1:18" ht="15" thickBot="1">
      <c r="A61" s="153"/>
      <c r="B61" s="154"/>
      <c r="C61" s="154"/>
      <c r="D61" s="154"/>
      <c r="E61" s="154"/>
      <c r="F61" s="154"/>
      <c r="G61" s="154"/>
      <c r="H61" s="154"/>
      <c r="I61" s="154"/>
      <c r="J61" s="154"/>
      <c r="K61" s="154"/>
      <c r="L61" s="154"/>
      <c r="M61" s="154"/>
      <c r="N61" s="154"/>
      <c r="O61" s="154"/>
      <c r="P61" s="154"/>
      <c r="Q61" s="154"/>
      <c r="R61" s="156"/>
    </row>
    <row r="62" spans="1:18">
      <c r="R62" s="151"/>
    </row>
    <row r="63" spans="1:18" ht="23.25">
      <c r="B63" s="147" t="s">
        <v>449</v>
      </c>
      <c r="R63" s="151"/>
    </row>
    <row r="64" spans="1:18" ht="15" thickBot="1">
      <c r="R64" s="151"/>
    </row>
    <row r="65" spans="1:18">
      <c r="A65" s="148"/>
      <c r="B65" s="149"/>
      <c r="C65" s="149"/>
      <c r="D65" s="149"/>
      <c r="E65" s="149"/>
      <c r="F65" s="149"/>
      <c r="G65" s="149"/>
      <c r="H65" s="149"/>
      <c r="I65" s="149"/>
      <c r="J65" s="149"/>
      <c r="K65" s="149"/>
      <c r="L65" s="149"/>
      <c r="M65" s="149"/>
      <c r="N65" s="149"/>
      <c r="O65" s="149"/>
      <c r="P65" s="149"/>
      <c r="Q65" s="149"/>
      <c r="R65" s="150"/>
    </row>
    <row r="66" spans="1:18">
      <c r="A66" s="50"/>
      <c r="B66" s="45"/>
      <c r="C66" s="45"/>
      <c r="D66" s="45"/>
      <c r="E66" s="45"/>
      <c r="F66" s="45"/>
      <c r="G66" s="45"/>
      <c r="H66" s="45"/>
      <c r="I66" s="45"/>
      <c r="J66" s="45"/>
      <c r="K66" s="45"/>
      <c r="L66" s="45"/>
      <c r="M66" s="45"/>
      <c r="N66" s="45"/>
      <c r="O66" s="45"/>
      <c r="P66" s="45"/>
      <c r="Q66" s="45"/>
      <c r="R66" s="151"/>
    </row>
    <row r="67" spans="1:18">
      <c r="A67" s="50"/>
      <c r="B67" s="67" t="s">
        <v>80</v>
      </c>
      <c r="C67" s="64" t="str">
        <f>DataList!D2</f>
        <v>Detected by</v>
      </c>
      <c r="D67" s="64" t="s">
        <v>80</v>
      </c>
      <c r="E67" s="45"/>
      <c r="F67" s="45"/>
      <c r="G67" s="45"/>
      <c r="H67" s="45"/>
      <c r="I67" s="45"/>
      <c r="J67" s="45"/>
      <c r="K67" s="45"/>
      <c r="L67" s="45"/>
      <c r="M67" s="45"/>
      <c r="N67" s="45"/>
      <c r="O67" s="45"/>
      <c r="P67" s="45"/>
      <c r="Q67" s="45"/>
      <c r="R67" s="151"/>
    </row>
    <row r="68" spans="1:18">
      <c r="A68" s="50"/>
      <c r="B68" s="66">
        <v>1</v>
      </c>
      <c r="C68" s="68" t="str">
        <f>Summary!J4</f>
        <v>Reviewer</v>
      </c>
      <c r="D68" s="62">
        <f>SUM(Summary!K4:M4)</f>
        <v>1</v>
      </c>
      <c r="E68" s="45"/>
      <c r="F68" s="45"/>
      <c r="G68" s="45"/>
      <c r="H68" s="45"/>
      <c r="I68" s="45"/>
      <c r="J68" s="45"/>
      <c r="K68" s="45"/>
      <c r="L68" s="45"/>
      <c r="M68" s="45"/>
      <c r="N68" s="45"/>
      <c r="O68" s="45"/>
      <c r="P68" s="45"/>
      <c r="Q68" s="45"/>
      <c r="R68" s="151"/>
    </row>
    <row r="69" spans="1:18">
      <c r="A69" s="50"/>
      <c r="B69" s="66">
        <v>2</v>
      </c>
      <c r="C69" s="68" t="str">
        <f>Summary!J5</f>
        <v>QC</v>
      </c>
      <c r="D69" s="62">
        <f>SUM(Summary!K5:M5)</f>
        <v>21</v>
      </c>
      <c r="E69" s="45"/>
      <c r="F69" s="45"/>
      <c r="G69" s="45"/>
      <c r="H69" s="45"/>
      <c r="I69" s="45"/>
      <c r="J69" s="45"/>
      <c r="K69" s="45"/>
      <c r="L69" s="45"/>
      <c r="M69" s="45"/>
      <c r="N69" s="45"/>
      <c r="O69" s="45"/>
      <c r="P69" s="45"/>
      <c r="Q69" s="45"/>
      <c r="R69" s="151"/>
    </row>
    <row r="70" spans="1:18">
      <c r="A70" s="50"/>
      <c r="B70" s="66">
        <v>3</v>
      </c>
      <c r="C70" s="68" t="str">
        <f>Summary!J6</f>
        <v>Client</v>
      </c>
      <c r="D70" s="62">
        <f>SUM(Summary!K6:M6)</f>
        <v>6</v>
      </c>
      <c r="E70" s="45"/>
      <c r="F70" s="45"/>
      <c r="G70" s="45"/>
      <c r="H70" s="45"/>
      <c r="I70" s="45"/>
      <c r="J70" s="45"/>
      <c r="K70" s="45"/>
      <c r="L70" s="45"/>
      <c r="M70" s="45"/>
      <c r="N70" s="45"/>
      <c r="O70" s="45"/>
      <c r="P70" s="45"/>
      <c r="Q70" s="45"/>
      <c r="R70" s="151"/>
    </row>
    <row r="71" spans="1:18">
      <c r="A71" s="50"/>
      <c r="B71" s="202" t="s">
        <v>79</v>
      </c>
      <c r="C71" s="202"/>
      <c r="D71" s="62">
        <f>SUM(D56:D70)</f>
        <v>28</v>
      </c>
      <c r="E71" s="45"/>
      <c r="F71" s="45"/>
      <c r="G71" s="45"/>
      <c r="H71" s="45"/>
      <c r="I71" s="45"/>
      <c r="J71" s="45"/>
      <c r="K71" s="45"/>
      <c r="L71" s="45"/>
      <c r="M71" s="45"/>
      <c r="N71" s="45"/>
      <c r="O71" s="45"/>
      <c r="P71" s="45"/>
      <c r="Q71" s="45"/>
      <c r="R71" s="151"/>
    </row>
    <row r="72" spans="1:18">
      <c r="A72" s="50"/>
      <c r="B72" s="45"/>
      <c r="C72" s="45"/>
      <c r="D72" s="45"/>
      <c r="E72" s="45"/>
      <c r="F72" s="45"/>
      <c r="G72" s="45"/>
      <c r="H72" s="45"/>
      <c r="I72" s="45"/>
      <c r="J72" s="45"/>
      <c r="K72" s="45"/>
      <c r="L72" s="45"/>
      <c r="M72" s="45"/>
      <c r="N72" s="45"/>
      <c r="O72" s="45"/>
      <c r="P72" s="45"/>
      <c r="Q72" s="45"/>
      <c r="R72" s="151"/>
    </row>
    <row r="73" spans="1:18">
      <c r="A73" s="50"/>
      <c r="B73" s="45"/>
      <c r="C73" s="45"/>
      <c r="D73" s="45"/>
      <c r="E73" s="45"/>
      <c r="F73" s="45"/>
      <c r="G73" s="45"/>
      <c r="H73" s="45"/>
      <c r="I73" s="45"/>
      <c r="J73" s="45"/>
      <c r="K73" s="45"/>
      <c r="L73" s="45"/>
      <c r="M73" s="45"/>
      <c r="N73" s="45"/>
      <c r="O73" s="45"/>
      <c r="P73" s="45"/>
      <c r="Q73" s="45"/>
      <c r="R73" s="151"/>
    </row>
    <row r="74" spans="1:18">
      <c r="A74" s="50"/>
      <c r="B74" s="45"/>
      <c r="C74" s="45"/>
      <c r="D74" s="45"/>
      <c r="E74" s="45"/>
      <c r="F74" s="45"/>
      <c r="G74" s="45"/>
      <c r="H74" s="45"/>
      <c r="I74" s="45"/>
      <c r="J74" s="45"/>
      <c r="K74" s="45"/>
      <c r="L74" s="45"/>
      <c r="M74" s="45"/>
      <c r="N74" s="45"/>
      <c r="O74" s="45"/>
      <c r="P74" s="45"/>
      <c r="Q74" s="45"/>
      <c r="R74" s="151"/>
    </row>
    <row r="75" spans="1:18">
      <c r="A75" s="50"/>
      <c r="B75" s="45"/>
      <c r="C75" s="45"/>
      <c r="D75" s="45"/>
      <c r="E75" s="45"/>
      <c r="F75" s="45"/>
      <c r="G75" s="45"/>
      <c r="H75" s="45"/>
      <c r="I75" s="45"/>
      <c r="J75" s="45"/>
      <c r="K75" s="45"/>
      <c r="L75" s="45"/>
      <c r="M75" s="45"/>
      <c r="N75" s="45"/>
      <c r="O75" s="45"/>
      <c r="P75" s="45"/>
      <c r="Q75" s="45"/>
      <c r="R75" s="151"/>
    </row>
    <row r="76" spans="1:18">
      <c r="A76" s="50"/>
      <c r="B76" s="45"/>
      <c r="C76" s="45"/>
      <c r="D76" s="45"/>
      <c r="E76" s="45"/>
      <c r="F76" s="45"/>
      <c r="G76" s="45"/>
      <c r="H76" s="45"/>
      <c r="I76" s="45"/>
      <c r="J76" s="45"/>
      <c r="K76" s="45"/>
      <c r="L76" s="45"/>
      <c r="M76" s="45"/>
      <c r="N76" s="45"/>
      <c r="O76" s="45"/>
      <c r="P76" s="45"/>
      <c r="Q76" s="45"/>
      <c r="R76" s="151"/>
    </row>
    <row r="77" spans="1:18">
      <c r="A77" s="50"/>
      <c r="B77" s="45"/>
      <c r="C77" s="45"/>
      <c r="D77" s="45"/>
      <c r="E77" s="45"/>
      <c r="F77" s="45"/>
      <c r="G77" s="45"/>
      <c r="H77" s="45"/>
      <c r="I77" s="45"/>
      <c r="J77" s="45"/>
      <c r="K77" s="45"/>
      <c r="L77" s="45"/>
      <c r="M77" s="45"/>
      <c r="N77" s="45"/>
      <c r="O77" s="45"/>
      <c r="P77" s="45"/>
      <c r="Q77" s="45"/>
      <c r="R77" s="151"/>
    </row>
    <row r="78" spans="1:18">
      <c r="A78" s="50"/>
      <c r="B78" s="45"/>
      <c r="C78" s="45"/>
      <c r="D78" s="45"/>
      <c r="E78" s="45"/>
      <c r="F78" s="45"/>
      <c r="G78" s="45"/>
      <c r="H78" s="45"/>
      <c r="I78" s="45"/>
      <c r="J78" s="45"/>
      <c r="K78" s="45"/>
      <c r="L78" s="45"/>
      <c r="M78" s="45"/>
      <c r="N78" s="45"/>
      <c r="O78" s="45"/>
      <c r="P78" s="45"/>
      <c r="Q78" s="45"/>
      <c r="R78" s="151"/>
    </row>
    <row r="79" spans="1:18">
      <c r="A79" s="50"/>
      <c r="B79" s="45"/>
      <c r="C79" s="45"/>
      <c r="D79" s="45"/>
      <c r="E79" s="45"/>
      <c r="F79" s="45"/>
      <c r="G79" s="45"/>
      <c r="H79" s="45"/>
      <c r="I79" s="45"/>
      <c r="J79" s="45"/>
      <c r="K79" s="45"/>
      <c r="L79" s="45"/>
      <c r="M79" s="45"/>
      <c r="N79" s="45"/>
      <c r="O79" s="45"/>
      <c r="P79" s="45"/>
      <c r="Q79" s="45"/>
      <c r="R79" s="151"/>
    </row>
    <row r="80" spans="1:18">
      <c r="A80" s="50"/>
      <c r="B80" s="45"/>
      <c r="C80" s="45"/>
      <c r="D80" s="45"/>
      <c r="E80" s="45"/>
      <c r="F80" s="45"/>
      <c r="G80" s="45"/>
      <c r="H80" s="45"/>
      <c r="I80" s="45"/>
      <c r="J80" s="45"/>
      <c r="K80" s="45"/>
      <c r="L80" s="45"/>
      <c r="M80" s="45"/>
      <c r="N80" s="45"/>
      <c r="O80" s="45"/>
      <c r="P80" s="45"/>
      <c r="Q80" s="45"/>
      <c r="R80" s="151"/>
    </row>
    <row r="81" spans="1:18">
      <c r="A81" s="50"/>
      <c r="B81" s="45"/>
      <c r="C81" s="45"/>
      <c r="D81" s="45"/>
      <c r="E81" s="45"/>
      <c r="F81" s="45"/>
      <c r="G81" s="45"/>
      <c r="H81" s="45"/>
      <c r="I81" s="45"/>
      <c r="J81" s="45"/>
      <c r="K81" s="45"/>
      <c r="L81" s="45"/>
      <c r="M81" s="45"/>
      <c r="N81" s="45"/>
      <c r="O81" s="45"/>
      <c r="P81" s="45"/>
      <c r="Q81" s="45"/>
      <c r="R81" s="151"/>
    </row>
    <row r="82" spans="1:18">
      <c r="A82" s="50"/>
      <c r="B82" s="45"/>
      <c r="C82" s="45"/>
      <c r="D82" s="45"/>
      <c r="E82" s="45"/>
      <c r="F82" s="45"/>
      <c r="G82" s="45"/>
      <c r="H82" s="45"/>
      <c r="I82" s="45"/>
      <c r="J82" s="45"/>
      <c r="K82" s="45"/>
      <c r="L82" s="45"/>
      <c r="M82" s="45"/>
      <c r="N82" s="45"/>
      <c r="O82" s="45"/>
      <c r="P82" s="45"/>
      <c r="Q82" s="45"/>
      <c r="R82" s="151"/>
    </row>
    <row r="83" spans="1:18">
      <c r="A83" s="50"/>
      <c r="B83" s="203"/>
      <c r="C83" s="203"/>
      <c r="D83" s="51"/>
      <c r="E83" s="45"/>
      <c r="F83" s="45"/>
      <c r="G83" s="45"/>
      <c r="H83" s="45"/>
      <c r="I83" s="45"/>
      <c r="J83" s="45"/>
      <c r="K83" s="45"/>
      <c r="L83" s="45"/>
      <c r="M83" s="45"/>
      <c r="N83" s="45"/>
      <c r="O83" s="45"/>
      <c r="P83" s="45"/>
      <c r="Q83" s="45"/>
      <c r="R83" s="151"/>
    </row>
    <row r="84" spans="1:18">
      <c r="A84" s="50"/>
      <c r="B84" s="45"/>
      <c r="C84" s="51"/>
      <c r="D84" s="51"/>
      <c r="E84" s="45"/>
      <c r="F84" s="45"/>
      <c r="G84" s="45"/>
      <c r="H84" s="45"/>
      <c r="I84" s="45"/>
      <c r="J84" s="45"/>
      <c r="K84" s="45"/>
      <c r="L84" s="45"/>
      <c r="M84" s="45"/>
      <c r="N84" s="45"/>
      <c r="O84" s="45"/>
      <c r="P84" s="45"/>
      <c r="Q84" s="45"/>
      <c r="R84" s="151"/>
    </row>
    <row r="85" spans="1:18">
      <c r="A85" s="50"/>
      <c r="B85" s="45"/>
      <c r="C85" s="45"/>
      <c r="D85" s="45"/>
      <c r="E85" s="45"/>
      <c r="F85" s="45"/>
      <c r="G85" s="45"/>
      <c r="H85" s="45"/>
      <c r="I85" s="45"/>
      <c r="J85" s="45"/>
      <c r="K85" s="45"/>
      <c r="L85" s="45"/>
      <c r="M85" s="45"/>
      <c r="N85" s="45"/>
      <c r="O85" s="45"/>
      <c r="P85" s="45"/>
      <c r="Q85" s="45"/>
      <c r="R85" s="151"/>
    </row>
    <row r="86" spans="1:18">
      <c r="A86" s="50"/>
      <c r="B86" s="45"/>
      <c r="C86" s="45"/>
      <c r="D86" s="45"/>
      <c r="E86" s="45"/>
      <c r="F86" s="45"/>
      <c r="G86" s="45"/>
      <c r="H86" s="45"/>
      <c r="I86" s="45"/>
      <c r="J86" s="45"/>
      <c r="K86" s="45"/>
      <c r="L86" s="45"/>
      <c r="M86" s="45"/>
      <c r="N86" s="45"/>
      <c r="O86" s="45"/>
      <c r="P86" s="45"/>
      <c r="Q86" s="45"/>
      <c r="R86" s="151"/>
    </row>
    <row r="87" spans="1:18">
      <c r="A87" s="50"/>
      <c r="B87" s="45"/>
      <c r="C87" s="45"/>
      <c r="D87" s="45"/>
      <c r="E87" s="45"/>
      <c r="F87" s="45"/>
      <c r="G87" s="45"/>
      <c r="H87" s="45"/>
      <c r="I87" s="45"/>
      <c r="J87" s="45"/>
      <c r="K87" s="45"/>
      <c r="L87" s="45"/>
      <c r="M87" s="45"/>
      <c r="N87" s="45"/>
      <c r="O87" s="45"/>
      <c r="P87" s="45"/>
      <c r="Q87" s="45"/>
      <c r="R87" s="151"/>
    </row>
    <row r="88" spans="1:18">
      <c r="A88" s="50"/>
      <c r="B88" s="45"/>
      <c r="C88" s="45"/>
      <c r="D88" s="45"/>
      <c r="E88" s="45"/>
      <c r="F88" s="45"/>
      <c r="G88" s="45"/>
      <c r="H88" s="45"/>
      <c r="I88" s="45"/>
      <c r="J88" s="45"/>
      <c r="K88" s="45"/>
      <c r="L88" s="45"/>
      <c r="M88" s="45"/>
      <c r="N88" s="45"/>
      <c r="O88" s="45"/>
      <c r="P88" s="45"/>
      <c r="Q88" s="45"/>
      <c r="R88" s="151"/>
    </row>
    <row r="89" spans="1:18">
      <c r="A89" s="50"/>
      <c r="B89" s="45"/>
      <c r="C89" s="45"/>
      <c r="D89" s="45"/>
      <c r="E89" s="45"/>
      <c r="F89" s="45"/>
      <c r="G89" s="45"/>
      <c r="H89" s="45"/>
      <c r="I89" s="45"/>
      <c r="J89" s="45"/>
      <c r="K89" s="45"/>
      <c r="L89" s="45"/>
      <c r="M89" s="45"/>
      <c r="N89" s="45"/>
      <c r="O89" s="45"/>
      <c r="P89" s="45"/>
      <c r="Q89" s="45"/>
      <c r="R89" s="151"/>
    </row>
    <row r="90" spans="1:18" ht="15" thickBot="1">
      <c r="A90" s="153"/>
      <c r="B90" s="154"/>
      <c r="C90" s="154"/>
      <c r="D90" s="154"/>
      <c r="E90" s="154"/>
      <c r="F90" s="154"/>
      <c r="G90" s="154"/>
      <c r="H90" s="154"/>
      <c r="I90" s="154"/>
      <c r="J90" s="154"/>
      <c r="K90" s="154"/>
      <c r="L90" s="154"/>
      <c r="M90" s="154"/>
      <c r="N90" s="154"/>
      <c r="O90" s="154"/>
      <c r="P90" s="154"/>
      <c r="Q90" s="154"/>
      <c r="R90" s="152"/>
    </row>
    <row r="91" spans="1:18">
      <c r="R91" s="151"/>
    </row>
    <row r="92" spans="1:18">
      <c r="R92" s="151"/>
    </row>
    <row r="93" spans="1:18" ht="23.25">
      <c r="B93" s="147" t="s">
        <v>81</v>
      </c>
      <c r="R93" s="151"/>
    </row>
    <row r="94" spans="1:18" ht="15" thickBot="1">
      <c r="R94" s="151"/>
    </row>
    <row r="95" spans="1:18">
      <c r="A95" s="148"/>
      <c r="B95" s="149"/>
      <c r="C95" s="149"/>
      <c r="D95" s="149"/>
      <c r="E95" s="149"/>
      <c r="F95" s="149"/>
      <c r="G95" s="149"/>
      <c r="H95" s="149"/>
      <c r="I95" s="149"/>
      <c r="J95" s="149"/>
      <c r="K95" s="149"/>
      <c r="L95" s="149"/>
      <c r="M95" s="149"/>
      <c r="N95" s="149"/>
      <c r="O95" s="149"/>
      <c r="P95" s="149"/>
      <c r="Q95" s="149"/>
      <c r="R95" s="150"/>
    </row>
    <row r="96" spans="1:18">
      <c r="A96" s="50"/>
      <c r="B96" s="45"/>
      <c r="C96" s="45"/>
      <c r="D96" s="45"/>
      <c r="E96" s="45"/>
      <c r="F96" s="45"/>
      <c r="G96" s="45"/>
      <c r="H96" s="45"/>
      <c r="I96" s="45"/>
      <c r="J96" s="45"/>
      <c r="K96" s="45"/>
      <c r="L96" s="45"/>
      <c r="M96" s="45"/>
      <c r="N96" s="45"/>
      <c r="O96" s="45"/>
      <c r="P96" s="45"/>
      <c r="Q96" s="45"/>
      <c r="R96" s="151"/>
    </row>
    <row r="97" spans="1:18">
      <c r="A97" s="50"/>
      <c r="B97" s="53" t="s">
        <v>80</v>
      </c>
      <c r="C97" s="54" t="str">
        <f>DataList!E2</f>
        <v>Project Component</v>
      </c>
      <c r="D97" s="53" t="s">
        <v>80</v>
      </c>
      <c r="E97" s="45"/>
      <c r="F97" s="45"/>
      <c r="G97" s="45"/>
      <c r="H97" s="45"/>
      <c r="I97" s="45"/>
      <c r="J97" s="45"/>
      <c r="K97" s="45"/>
      <c r="L97" s="45"/>
      <c r="M97" s="45"/>
      <c r="N97" s="45"/>
      <c r="O97" s="45"/>
      <c r="P97" s="45"/>
      <c r="Q97" s="45"/>
      <c r="R97" s="151"/>
    </row>
    <row r="98" spans="1:18">
      <c r="A98" s="50"/>
      <c r="B98" s="47">
        <v>1</v>
      </c>
      <c r="C98" s="52" t="s">
        <v>39</v>
      </c>
      <c r="D98" s="47">
        <f>SUM(Summary!O4:Q4)</f>
        <v>1</v>
      </c>
      <c r="E98" s="45"/>
      <c r="F98" s="45"/>
      <c r="G98" s="45"/>
      <c r="H98" s="45"/>
      <c r="I98" s="45"/>
      <c r="J98" s="45"/>
      <c r="K98" s="45"/>
      <c r="L98" s="45"/>
      <c r="M98" s="45"/>
      <c r="N98" s="45"/>
      <c r="O98" s="45"/>
      <c r="P98" s="45"/>
      <c r="Q98" s="45"/>
      <c r="R98" s="151"/>
    </row>
    <row r="99" spans="1:18">
      <c r="A99" s="50"/>
      <c r="B99" s="47">
        <v>2</v>
      </c>
      <c r="C99" s="52" t="s">
        <v>44</v>
      </c>
      <c r="D99" s="47">
        <f>SUM(Summary!O5:Q5)</f>
        <v>10</v>
      </c>
      <c r="E99" s="45"/>
      <c r="F99" s="45"/>
      <c r="G99" s="45"/>
      <c r="H99" s="45"/>
      <c r="I99" s="45"/>
      <c r="J99" s="45"/>
      <c r="K99" s="45"/>
      <c r="L99" s="45"/>
      <c r="M99" s="45"/>
      <c r="N99" s="45"/>
      <c r="O99" s="45"/>
      <c r="P99" s="45"/>
      <c r="Q99" s="45"/>
      <c r="R99" s="151"/>
    </row>
    <row r="100" spans="1:18">
      <c r="A100" s="50"/>
      <c r="B100" s="47">
        <v>3</v>
      </c>
      <c r="C100" s="52" t="s">
        <v>49</v>
      </c>
      <c r="D100" s="47">
        <f>SUM(Summary!O6:Q6)</f>
        <v>1</v>
      </c>
      <c r="E100" s="45"/>
      <c r="F100" s="45"/>
      <c r="G100" s="45"/>
      <c r="H100" s="45"/>
      <c r="I100" s="45"/>
      <c r="J100" s="45"/>
      <c r="K100" s="45"/>
      <c r="L100" s="45"/>
      <c r="M100" s="45"/>
      <c r="N100" s="45"/>
      <c r="O100" s="45"/>
      <c r="P100" s="45"/>
      <c r="Q100" s="45"/>
      <c r="R100" s="151"/>
    </row>
    <row r="101" spans="1:18">
      <c r="A101" s="50"/>
      <c r="B101" s="47">
        <v>4</v>
      </c>
      <c r="C101" s="52" t="s">
        <v>52</v>
      </c>
      <c r="D101" s="47">
        <f>SUM(Summary!O7:Q7)</f>
        <v>1</v>
      </c>
      <c r="E101" s="45"/>
      <c r="F101" s="45"/>
      <c r="G101" s="45"/>
      <c r="H101" s="45"/>
      <c r="I101" s="45"/>
      <c r="J101" s="45"/>
      <c r="K101" s="45"/>
      <c r="L101" s="45"/>
      <c r="M101" s="45"/>
      <c r="N101" s="45"/>
      <c r="O101" s="45"/>
      <c r="P101" s="45"/>
      <c r="Q101" s="45"/>
      <c r="R101" s="151"/>
    </row>
    <row r="102" spans="1:18">
      <c r="A102" s="50"/>
      <c r="B102" s="47">
        <v>5</v>
      </c>
      <c r="C102" s="52" t="s">
        <v>55</v>
      </c>
      <c r="D102" s="47">
        <f>SUM(Summary!O8:Q8)</f>
        <v>1</v>
      </c>
      <c r="E102" s="45"/>
      <c r="F102" s="45"/>
      <c r="G102" s="45"/>
      <c r="H102" s="45"/>
      <c r="I102" s="45"/>
      <c r="J102" s="45"/>
      <c r="K102" s="45"/>
      <c r="L102" s="45"/>
      <c r="M102" s="45"/>
      <c r="N102" s="45"/>
      <c r="O102" s="45"/>
      <c r="P102" s="45"/>
      <c r="Q102" s="45"/>
      <c r="R102" s="151"/>
    </row>
    <row r="103" spans="1:18">
      <c r="A103" s="50"/>
      <c r="B103" s="47">
        <v>6</v>
      </c>
      <c r="C103" s="52" t="s">
        <v>58</v>
      </c>
      <c r="D103" s="47">
        <f>SUM(Summary!O9:Q9)</f>
        <v>1</v>
      </c>
      <c r="E103" s="45"/>
      <c r="F103" s="45"/>
      <c r="G103" s="45"/>
      <c r="H103" s="45"/>
      <c r="I103" s="45"/>
      <c r="J103" s="45"/>
      <c r="K103" s="45"/>
      <c r="L103" s="45"/>
      <c r="M103" s="45"/>
      <c r="N103" s="45"/>
      <c r="O103" s="45"/>
      <c r="P103" s="45"/>
      <c r="Q103" s="45"/>
      <c r="R103" s="151"/>
    </row>
    <row r="104" spans="1:18">
      <c r="A104" s="50"/>
      <c r="B104" s="47">
        <v>7</v>
      </c>
      <c r="C104" s="52" t="s">
        <v>62</v>
      </c>
      <c r="D104" s="47">
        <f>SUM(Summary!O10:Q10)</f>
        <v>2</v>
      </c>
      <c r="E104" s="45"/>
      <c r="F104" s="45"/>
      <c r="G104" s="45"/>
      <c r="H104" s="45"/>
      <c r="I104" s="45"/>
      <c r="J104" s="45"/>
      <c r="K104" s="45"/>
      <c r="L104" s="45"/>
      <c r="M104" s="45"/>
      <c r="N104" s="45"/>
      <c r="O104" s="45"/>
      <c r="P104" s="45"/>
      <c r="Q104" s="45"/>
      <c r="R104" s="151"/>
    </row>
    <row r="105" spans="1:18">
      <c r="A105" s="50"/>
      <c r="B105" s="47">
        <v>8</v>
      </c>
      <c r="C105" s="52" t="s">
        <v>64</v>
      </c>
      <c r="D105" s="47">
        <f>SUM(Summary!O11:Q11)</f>
        <v>1</v>
      </c>
      <c r="E105" s="45"/>
      <c r="F105" s="45"/>
      <c r="G105" s="45"/>
      <c r="H105" s="45"/>
      <c r="I105" s="45"/>
      <c r="J105" s="45"/>
      <c r="K105" s="45"/>
      <c r="L105" s="45"/>
      <c r="M105" s="45"/>
      <c r="N105" s="45"/>
      <c r="O105" s="45"/>
      <c r="P105" s="45"/>
      <c r="Q105" s="45"/>
      <c r="R105" s="151"/>
    </row>
    <row r="106" spans="1:18">
      <c r="A106" s="50"/>
      <c r="B106" s="47">
        <v>9</v>
      </c>
      <c r="C106" s="52" t="s">
        <v>66</v>
      </c>
      <c r="D106" s="47">
        <f>SUM(Summary!O12:Q12)</f>
        <v>1</v>
      </c>
      <c r="E106" s="45"/>
      <c r="F106" s="45"/>
      <c r="G106" s="45"/>
      <c r="H106" s="45"/>
      <c r="I106" s="45"/>
      <c r="J106" s="45"/>
      <c r="K106" s="45"/>
      <c r="L106" s="45"/>
      <c r="M106" s="45"/>
      <c r="N106" s="45"/>
      <c r="O106" s="45"/>
      <c r="P106" s="45"/>
      <c r="Q106" s="45"/>
      <c r="R106" s="151"/>
    </row>
    <row r="107" spans="1:18">
      <c r="A107" s="50"/>
      <c r="B107" s="47">
        <v>10</v>
      </c>
      <c r="C107" s="52" t="s">
        <v>67</v>
      </c>
      <c r="D107" s="47">
        <f>SUM(Summary!O13:Q13)</f>
        <v>1</v>
      </c>
      <c r="E107" s="45"/>
      <c r="F107" s="45"/>
      <c r="G107" s="45"/>
      <c r="H107" s="45"/>
      <c r="I107" s="45"/>
      <c r="J107" s="45"/>
      <c r="K107" s="45"/>
      <c r="L107" s="45"/>
      <c r="M107" s="45"/>
      <c r="N107" s="45"/>
      <c r="O107" s="45"/>
      <c r="P107" s="45"/>
      <c r="Q107" s="45"/>
      <c r="R107" s="151"/>
    </row>
    <row r="108" spans="1:18">
      <c r="A108" s="50"/>
      <c r="B108" s="47">
        <v>11</v>
      </c>
      <c r="C108" s="52" t="s">
        <v>68</v>
      </c>
      <c r="D108" s="47">
        <f>SUM(Summary!O14:Q14)</f>
        <v>3</v>
      </c>
      <c r="E108" s="45"/>
      <c r="F108" s="45"/>
      <c r="G108" s="45"/>
      <c r="H108" s="45"/>
      <c r="I108" s="45"/>
      <c r="J108" s="45"/>
      <c r="K108" s="45"/>
      <c r="L108" s="45"/>
      <c r="M108" s="45"/>
      <c r="N108" s="45"/>
      <c r="O108" s="45"/>
      <c r="P108" s="45"/>
      <c r="Q108" s="45"/>
      <c r="R108" s="151"/>
    </row>
    <row r="109" spans="1:18">
      <c r="A109" s="50"/>
      <c r="B109" s="47">
        <v>12</v>
      </c>
      <c r="C109" s="52" t="s">
        <v>69</v>
      </c>
      <c r="D109" s="47">
        <f>SUM(Summary!O15:Q15)</f>
        <v>1</v>
      </c>
      <c r="E109" s="45"/>
      <c r="F109" s="45"/>
      <c r="G109" s="45"/>
      <c r="H109" s="45"/>
      <c r="I109" s="45"/>
      <c r="J109" s="45"/>
      <c r="K109" s="45"/>
      <c r="L109" s="45"/>
      <c r="M109" s="45"/>
      <c r="N109" s="45"/>
      <c r="O109" s="45"/>
      <c r="P109" s="45"/>
      <c r="Q109" s="45"/>
      <c r="R109" s="151"/>
    </row>
    <row r="110" spans="1:18">
      <c r="A110" s="50"/>
      <c r="B110" s="47">
        <v>13</v>
      </c>
      <c r="C110" s="52" t="s">
        <v>70</v>
      </c>
      <c r="D110" s="47">
        <f>SUM(Summary!O16:Q16)</f>
        <v>1</v>
      </c>
      <c r="E110" s="45"/>
      <c r="F110" s="45"/>
      <c r="G110" s="45"/>
      <c r="H110" s="45"/>
      <c r="I110" s="45"/>
      <c r="J110" s="45"/>
      <c r="K110" s="45"/>
      <c r="L110" s="45"/>
      <c r="M110" s="45"/>
      <c r="N110" s="45"/>
      <c r="O110" s="45"/>
      <c r="P110" s="45"/>
      <c r="Q110" s="45"/>
      <c r="R110" s="151"/>
    </row>
    <row r="111" spans="1:18">
      <c r="A111" s="50"/>
      <c r="B111" s="47">
        <v>14</v>
      </c>
      <c r="C111" s="52" t="s">
        <v>71</v>
      </c>
      <c r="D111" s="47">
        <f>SUM(Summary!O17:Q17)</f>
        <v>1</v>
      </c>
      <c r="E111" s="45"/>
      <c r="F111" s="45"/>
      <c r="G111" s="45"/>
      <c r="H111" s="45"/>
      <c r="I111" s="45"/>
      <c r="J111" s="45"/>
      <c r="K111" s="45"/>
      <c r="L111" s="45"/>
      <c r="M111" s="45"/>
      <c r="N111" s="45"/>
      <c r="O111" s="45"/>
      <c r="P111" s="45"/>
      <c r="Q111" s="45"/>
      <c r="R111" s="151"/>
    </row>
    <row r="112" spans="1:18">
      <c r="A112" s="50"/>
      <c r="B112" s="47">
        <v>15</v>
      </c>
      <c r="C112" s="52" t="s">
        <v>72</v>
      </c>
      <c r="D112" s="47">
        <f>SUM(Summary!O18:Q18)</f>
        <v>1</v>
      </c>
      <c r="E112" s="45"/>
      <c r="F112" s="45"/>
      <c r="G112" s="45"/>
      <c r="H112" s="45"/>
      <c r="I112" s="45"/>
      <c r="J112" s="45"/>
      <c r="K112" s="45"/>
      <c r="L112" s="45"/>
      <c r="M112" s="45"/>
      <c r="N112" s="45"/>
      <c r="O112" s="45"/>
      <c r="P112" s="45"/>
      <c r="Q112" s="45"/>
      <c r="R112" s="151"/>
    </row>
    <row r="113" spans="1:18">
      <c r="A113" s="50"/>
      <c r="B113" s="47">
        <v>16</v>
      </c>
      <c r="C113" s="52" t="s">
        <v>73</v>
      </c>
      <c r="D113" s="47">
        <f>SUM(Summary!O19:Q19)</f>
        <v>1</v>
      </c>
      <c r="E113" s="45"/>
      <c r="F113" s="45"/>
      <c r="G113" s="45"/>
      <c r="H113" s="45"/>
      <c r="I113" s="45"/>
      <c r="J113" s="45"/>
      <c r="K113" s="45"/>
      <c r="L113" s="45"/>
      <c r="M113" s="45"/>
      <c r="N113" s="45"/>
      <c r="O113" s="45"/>
      <c r="P113" s="45"/>
      <c r="Q113" s="45"/>
      <c r="R113" s="151"/>
    </row>
    <row r="114" spans="1:18">
      <c r="A114" s="50"/>
      <c r="B114" s="204" t="s">
        <v>79</v>
      </c>
      <c r="C114" s="205"/>
      <c r="D114" s="47">
        <f>SUM(D98:D113)</f>
        <v>28</v>
      </c>
      <c r="E114" s="45"/>
      <c r="F114" s="45"/>
      <c r="G114" s="45"/>
      <c r="H114" s="45"/>
      <c r="I114" s="45"/>
      <c r="J114" s="45"/>
      <c r="K114" s="45"/>
      <c r="L114" s="45"/>
      <c r="M114" s="45"/>
      <c r="N114" s="45"/>
      <c r="O114" s="45"/>
      <c r="P114" s="45"/>
      <c r="Q114" s="45"/>
      <c r="R114" s="151"/>
    </row>
    <row r="115" spans="1:18">
      <c r="A115" s="50"/>
      <c r="B115" s="45"/>
      <c r="C115" s="45"/>
      <c r="D115" s="45"/>
      <c r="E115" s="45"/>
      <c r="F115" s="45"/>
      <c r="G115" s="45"/>
      <c r="H115" s="45"/>
      <c r="I115" s="45"/>
      <c r="J115" s="45"/>
      <c r="K115" s="45"/>
      <c r="L115" s="45"/>
      <c r="M115" s="45"/>
      <c r="N115" s="45"/>
      <c r="O115" s="45"/>
      <c r="P115" s="45"/>
      <c r="Q115" s="45"/>
      <c r="R115" s="151"/>
    </row>
    <row r="116" spans="1:18">
      <c r="A116" s="50"/>
      <c r="B116" s="45"/>
      <c r="C116" s="45"/>
      <c r="D116" s="45"/>
      <c r="E116" s="45"/>
      <c r="F116" s="45"/>
      <c r="G116" s="45"/>
      <c r="H116" s="45"/>
      <c r="I116" s="45"/>
      <c r="J116" s="45"/>
      <c r="K116" s="45"/>
      <c r="L116" s="45"/>
      <c r="M116" s="45"/>
      <c r="N116" s="45"/>
      <c r="O116" s="45"/>
      <c r="P116" s="45"/>
      <c r="Q116" s="45"/>
      <c r="R116" s="151"/>
    </row>
    <row r="117" spans="1:18">
      <c r="A117" s="50"/>
      <c r="B117" s="45"/>
      <c r="C117" s="45"/>
      <c r="D117" s="45"/>
      <c r="E117" s="45"/>
      <c r="F117" s="45"/>
      <c r="G117" s="45"/>
      <c r="H117" s="45"/>
      <c r="I117" s="45"/>
      <c r="J117" s="45"/>
      <c r="K117" s="45"/>
      <c r="L117" s="45"/>
      <c r="M117" s="45"/>
      <c r="N117" s="45"/>
      <c r="O117" s="45"/>
      <c r="P117" s="45"/>
      <c r="Q117" s="45"/>
      <c r="R117" s="151"/>
    </row>
    <row r="118" spans="1:18">
      <c r="A118" s="50"/>
      <c r="B118" s="45"/>
      <c r="C118" s="45"/>
      <c r="D118" s="45"/>
      <c r="E118" s="45"/>
      <c r="F118" s="45"/>
      <c r="G118" s="45"/>
      <c r="H118" s="45"/>
      <c r="I118" s="45"/>
      <c r="J118" s="45"/>
      <c r="K118" s="45"/>
      <c r="L118" s="45"/>
      <c r="M118" s="45"/>
      <c r="N118" s="45"/>
      <c r="O118" s="45"/>
      <c r="P118" s="45"/>
      <c r="Q118" s="45"/>
      <c r="R118" s="151"/>
    </row>
    <row r="119" spans="1:18">
      <c r="A119" s="50"/>
      <c r="B119" s="45"/>
      <c r="C119" s="45"/>
      <c r="D119" s="45"/>
      <c r="E119" s="45"/>
      <c r="F119" s="45"/>
      <c r="G119" s="45"/>
      <c r="H119" s="45"/>
      <c r="I119" s="45"/>
      <c r="J119" s="45"/>
      <c r="K119" s="45"/>
      <c r="L119" s="45"/>
      <c r="M119" s="45"/>
      <c r="N119" s="45"/>
      <c r="O119" s="45"/>
      <c r="P119" s="45"/>
      <c r="Q119" s="45"/>
      <c r="R119" s="151"/>
    </row>
    <row r="120" spans="1:18" ht="15" thickBot="1">
      <c r="A120" s="153"/>
      <c r="B120" s="154"/>
      <c r="C120" s="154"/>
      <c r="D120" s="154"/>
      <c r="E120" s="154"/>
      <c r="F120" s="154"/>
      <c r="G120" s="154"/>
      <c r="H120" s="154"/>
      <c r="I120" s="154"/>
      <c r="J120" s="154"/>
      <c r="K120" s="154"/>
      <c r="L120" s="154"/>
      <c r="M120" s="154"/>
      <c r="N120" s="154"/>
      <c r="O120" s="154"/>
      <c r="P120" s="154"/>
      <c r="Q120" s="154"/>
      <c r="R120" s="152"/>
    </row>
    <row r="123" spans="1:18" ht="23.25">
      <c r="B123" s="147" t="s">
        <v>82</v>
      </c>
    </row>
    <row r="124" spans="1:18" ht="15" thickBot="1"/>
    <row r="125" spans="1:18">
      <c r="A125" s="148"/>
      <c r="B125" s="149"/>
      <c r="C125" s="149"/>
      <c r="D125" s="149"/>
      <c r="E125" s="149"/>
      <c r="F125" s="149"/>
      <c r="G125" s="149"/>
      <c r="H125" s="149"/>
      <c r="I125" s="149"/>
      <c r="J125" s="149"/>
      <c r="K125" s="149"/>
      <c r="L125" s="149"/>
      <c r="M125" s="149"/>
      <c r="N125" s="149"/>
      <c r="O125" s="149"/>
      <c r="P125" s="149"/>
      <c r="Q125" s="149"/>
      <c r="R125" s="150"/>
    </row>
    <row r="126" spans="1:18">
      <c r="A126" s="50"/>
      <c r="B126" s="45"/>
      <c r="C126" s="45"/>
      <c r="D126" s="45"/>
      <c r="E126" s="45"/>
      <c r="F126" s="45"/>
      <c r="G126" s="45"/>
      <c r="H126" s="45"/>
      <c r="I126" s="45"/>
      <c r="J126" s="45"/>
      <c r="K126" s="45"/>
      <c r="L126" s="45"/>
      <c r="M126" s="45"/>
      <c r="N126" s="45"/>
      <c r="O126" s="45"/>
      <c r="P126" s="45"/>
      <c r="Q126" s="45"/>
      <c r="R126" s="151"/>
    </row>
    <row r="127" spans="1:18">
      <c r="A127" s="50"/>
      <c r="B127" s="60" t="s">
        <v>80</v>
      </c>
      <c r="C127" s="60" t="str">
        <f>DataList!F2</f>
        <v>Defect Root Cause</v>
      </c>
      <c r="D127" s="60" t="s">
        <v>80</v>
      </c>
      <c r="E127" s="45"/>
      <c r="F127" s="45"/>
      <c r="G127" s="45"/>
      <c r="H127" s="45"/>
      <c r="I127" s="45"/>
      <c r="J127" s="45"/>
      <c r="K127" s="45"/>
      <c r="L127" s="45"/>
      <c r="M127" s="45"/>
      <c r="N127" s="45"/>
      <c r="O127" s="45"/>
      <c r="P127" s="45"/>
      <c r="Q127" s="45"/>
      <c r="R127" s="151"/>
    </row>
    <row r="128" spans="1:18">
      <c r="A128" s="50"/>
      <c r="B128" s="62">
        <v>1</v>
      </c>
      <c r="C128" s="63" t="s">
        <v>40</v>
      </c>
      <c r="D128" s="62">
        <f>SUM(Summary!S4:U4)</f>
        <v>1</v>
      </c>
      <c r="E128" s="45"/>
      <c r="F128" s="45"/>
      <c r="G128" s="45"/>
      <c r="H128" s="45"/>
      <c r="I128" s="45"/>
      <c r="J128" s="45"/>
      <c r="K128" s="45"/>
      <c r="L128" s="45"/>
      <c r="M128" s="45"/>
      <c r="N128" s="45"/>
      <c r="O128" s="45"/>
      <c r="P128" s="45"/>
      <c r="Q128" s="45"/>
      <c r="R128" s="151"/>
    </row>
    <row r="129" spans="1:18">
      <c r="A129" s="50"/>
      <c r="B129" s="62">
        <v>2</v>
      </c>
      <c r="C129" s="63" t="s">
        <v>45</v>
      </c>
      <c r="D129" s="62">
        <f>SUM(Summary!S5:U5)</f>
        <v>1</v>
      </c>
      <c r="E129" s="45"/>
      <c r="F129" s="45"/>
      <c r="G129" s="45"/>
      <c r="H129" s="45"/>
      <c r="I129" s="45"/>
      <c r="J129" s="45"/>
      <c r="K129" s="45"/>
      <c r="L129" s="45"/>
      <c r="M129" s="45"/>
      <c r="N129" s="45"/>
      <c r="O129" s="45"/>
      <c r="P129" s="45"/>
      <c r="Q129" s="45"/>
      <c r="R129" s="151"/>
    </row>
    <row r="130" spans="1:18">
      <c r="A130" s="50"/>
      <c r="B130" s="62">
        <v>3</v>
      </c>
      <c r="C130" s="63" t="s">
        <v>50</v>
      </c>
      <c r="D130" s="62">
        <f>SUM(Summary!S6:U6)</f>
        <v>0</v>
      </c>
      <c r="E130" s="45"/>
      <c r="F130" s="45"/>
      <c r="G130" s="45"/>
      <c r="H130" s="45"/>
      <c r="I130" s="45"/>
      <c r="J130" s="45"/>
      <c r="K130" s="45"/>
      <c r="L130" s="45"/>
      <c r="M130" s="45"/>
      <c r="N130" s="45"/>
      <c r="O130" s="45"/>
      <c r="P130" s="45"/>
      <c r="Q130" s="45"/>
      <c r="R130" s="151"/>
    </row>
    <row r="131" spans="1:18">
      <c r="A131" s="50"/>
      <c r="B131" s="62">
        <v>4</v>
      </c>
      <c r="C131" s="63" t="s">
        <v>53</v>
      </c>
      <c r="D131" s="62">
        <f>SUM(Summary!S7:U7)</f>
        <v>0</v>
      </c>
      <c r="E131" s="45"/>
      <c r="F131" s="45"/>
      <c r="G131" s="45"/>
      <c r="H131" s="45"/>
      <c r="I131" s="45"/>
      <c r="J131" s="45"/>
      <c r="K131" s="45"/>
      <c r="L131" s="45"/>
      <c r="M131" s="45"/>
      <c r="N131" s="45"/>
      <c r="O131" s="45"/>
      <c r="P131" s="45"/>
      <c r="Q131" s="45"/>
      <c r="R131" s="151"/>
    </row>
    <row r="132" spans="1:18">
      <c r="A132" s="50"/>
      <c r="B132" s="62">
        <v>5</v>
      </c>
      <c r="C132" s="63" t="s">
        <v>56</v>
      </c>
      <c r="D132" s="62">
        <f>SUM(Summary!S8:U8)</f>
        <v>0</v>
      </c>
      <c r="E132" s="45"/>
      <c r="F132" s="45"/>
      <c r="G132" s="45"/>
      <c r="H132" s="45"/>
      <c r="I132" s="45"/>
      <c r="J132" s="45"/>
      <c r="K132" s="45"/>
      <c r="L132" s="45"/>
      <c r="M132" s="45"/>
      <c r="N132" s="45"/>
      <c r="O132" s="45"/>
      <c r="P132" s="45"/>
      <c r="Q132" s="45"/>
      <c r="R132" s="151"/>
    </row>
    <row r="133" spans="1:18">
      <c r="A133" s="50"/>
      <c r="B133" s="62">
        <v>6</v>
      </c>
      <c r="C133" s="63" t="s">
        <v>59</v>
      </c>
      <c r="D133" s="62">
        <f>SUM(Summary!S9:U9)</f>
        <v>25</v>
      </c>
      <c r="E133" s="45"/>
      <c r="F133" s="45"/>
      <c r="G133" s="45"/>
      <c r="H133" s="45"/>
      <c r="I133" s="45"/>
      <c r="J133" s="45"/>
      <c r="K133" s="45"/>
      <c r="L133" s="45"/>
      <c r="M133" s="45"/>
      <c r="N133" s="45"/>
      <c r="O133" s="45"/>
      <c r="P133" s="45"/>
      <c r="Q133" s="45"/>
      <c r="R133" s="151"/>
    </row>
    <row r="134" spans="1:18">
      <c r="A134" s="50"/>
      <c r="B134" s="201" t="s">
        <v>79</v>
      </c>
      <c r="C134" s="201"/>
      <c r="D134" s="62">
        <f>SUM(D128:D133)</f>
        <v>27</v>
      </c>
      <c r="E134" s="45"/>
      <c r="F134" s="45"/>
      <c r="G134" s="45"/>
      <c r="H134" s="45"/>
      <c r="I134" s="45"/>
      <c r="J134" s="45"/>
      <c r="K134" s="45"/>
      <c r="L134" s="45"/>
      <c r="M134" s="45"/>
      <c r="N134" s="45"/>
      <c r="O134" s="45"/>
      <c r="P134" s="45"/>
      <c r="Q134" s="45"/>
      <c r="R134" s="151"/>
    </row>
    <row r="135" spans="1:18">
      <c r="A135" s="50"/>
      <c r="B135" s="45"/>
      <c r="C135" s="45"/>
      <c r="D135" s="45"/>
      <c r="E135" s="45"/>
      <c r="F135" s="45"/>
      <c r="G135" s="45"/>
      <c r="H135" s="45"/>
      <c r="I135" s="45"/>
      <c r="J135" s="45"/>
      <c r="K135" s="45"/>
      <c r="L135" s="45"/>
      <c r="M135" s="45"/>
      <c r="N135" s="45"/>
      <c r="O135" s="45"/>
      <c r="P135" s="45"/>
      <c r="Q135" s="45"/>
      <c r="R135" s="151"/>
    </row>
    <row r="136" spans="1:18">
      <c r="A136" s="50"/>
      <c r="B136" s="45"/>
      <c r="C136" s="45"/>
      <c r="D136" s="45"/>
      <c r="E136" s="45"/>
      <c r="F136" s="45"/>
      <c r="G136" s="45"/>
      <c r="H136" s="45"/>
      <c r="I136" s="45"/>
      <c r="J136" s="45"/>
      <c r="K136" s="45"/>
      <c r="L136" s="45"/>
      <c r="M136" s="45"/>
      <c r="N136" s="45"/>
      <c r="O136" s="45"/>
      <c r="P136" s="45"/>
      <c r="Q136" s="45"/>
      <c r="R136" s="151"/>
    </row>
    <row r="137" spans="1:18">
      <c r="A137" s="50"/>
      <c r="B137" s="45"/>
      <c r="C137" s="45"/>
      <c r="D137" s="45"/>
      <c r="E137" s="45"/>
      <c r="F137" s="45"/>
      <c r="G137" s="45"/>
      <c r="H137" s="45"/>
      <c r="I137" s="45"/>
      <c r="J137" s="45"/>
      <c r="K137" s="45"/>
      <c r="L137" s="45"/>
      <c r="M137" s="45"/>
      <c r="N137" s="45"/>
      <c r="O137" s="45"/>
      <c r="P137" s="45"/>
      <c r="Q137" s="45"/>
      <c r="R137" s="151"/>
    </row>
    <row r="138" spans="1:18">
      <c r="A138" s="50"/>
      <c r="B138" s="45"/>
      <c r="C138" s="45"/>
      <c r="D138" s="45"/>
      <c r="E138" s="45"/>
      <c r="F138" s="45"/>
      <c r="G138" s="45"/>
      <c r="H138" s="45"/>
      <c r="I138" s="45"/>
      <c r="J138" s="45"/>
      <c r="K138" s="45"/>
      <c r="L138" s="45"/>
      <c r="M138" s="45"/>
      <c r="N138" s="45"/>
      <c r="O138" s="45"/>
      <c r="P138" s="45"/>
      <c r="Q138" s="45"/>
      <c r="R138" s="151"/>
    </row>
    <row r="139" spans="1:18">
      <c r="A139" s="50"/>
      <c r="B139" s="45"/>
      <c r="C139" s="45"/>
      <c r="D139" s="45"/>
      <c r="E139" s="45"/>
      <c r="F139" s="45"/>
      <c r="G139" s="45"/>
      <c r="H139" s="45"/>
      <c r="I139" s="45"/>
      <c r="J139" s="45"/>
      <c r="K139" s="45"/>
      <c r="L139" s="45"/>
      <c r="M139" s="45"/>
      <c r="N139" s="45"/>
      <c r="O139" s="45"/>
      <c r="P139" s="45"/>
      <c r="Q139" s="45"/>
      <c r="R139" s="151"/>
    </row>
    <row r="140" spans="1:18">
      <c r="A140" s="50"/>
      <c r="B140" s="45"/>
      <c r="C140" s="45"/>
      <c r="D140" s="45"/>
      <c r="E140" s="45"/>
      <c r="F140" s="45"/>
      <c r="G140" s="45"/>
      <c r="H140" s="45"/>
      <c r="I140" s="45"/>
      <c r="J140" s="45"/>
      <c r="K140" s="45"/>
      <c r="L140" s="45"/>
      <c r="M140" s="45"/>
      <c r="N140" s="45"/>
      <c r="O140" s="45"/>
      <c r="P140" s="45"/>
      <c r="Q140" s="45"/>
      <c r="R140" s="151"/>
    </row>
    <row r="141" spans="1:18">
      <c r="A141" s="50"/>
      <c r="B141" s="45"/>
      <c r="C141" s="45"/>
      <c r="D141" s="45"/>
      <c r="E141" s="45"/>
      <c r="F141" s="45"/>
      <c r="G141" s="45"/>
      <c r="H141" s="45"/>
      <c r="I141" s="45"/>
      <c r="J141" s="45"/>
      <c r="K141" s="45"/>
      <c r="L141" s="45"/>
      <c r="M141" s="45"/>
      <c r="N141" s="45"/>
      <c r="O141" s="45"/>
      <c r="P141" s="45"/>
      <c r="Q141" s="45"/>
      <c r="R141" s="151"/>
    </row>
    <row r="142" spans="1:18">
      <c r="A142" s="50"/>
      <c r="B142" s="45"/>
      <c r="C142" s="45"/>
      <c r="D142" s="45"/>
      <c r="E142" s="45"/>
      <c r="F142" s="45"/>
      <c r="G142" s="45"/>
      <c r="H142" s="45"/>
      <c r="I142" s="45"/>
      <c r="J142" s="45"/>
      <c r="K142" s="45"/>
      <c r="L142" s="45"/>
      <c r="M142" s="45"/>
      <c r="N142" s="45"/>
      <c r="O142" s="45"/>
      <c r="P142" s="45"/>
      <c r="Q142" s="45"/>
      <c r="R142" s="151"/>
    </row>
    <row r="143" spans="1:18">
      <c r="A143" s="50"/>
      <c r="B143" s="45"/>
      <c r="C143" s="45"/>
      <c r="D143" s="45"/>
      <c r="E143" s="45"/>
      <c r="F143" s="45"/>
      <c r="G143" s="45"/>
      <c r="H143" s="45"/>
      <c r="I143" s="45"/>
      <c r="J143" s="45"/>
      <c r="K143" s="45"/>
      <c r="L143" s="45"/>
      <c r="M143" s="45"/>
      <c r="N143" s="45"/>
      <c r="O143" s="45"/>
      <c r="P143" s="45"/>
      <c r="Q143" s="45"/>
      <c r="R143" s="151"/>
    </row>
    <row r="144" spans="1:18">
      <c r="A144" s="50"/>
      <c r="B144" s="45"/>
      <c r="C144" s="45"/>
      <c r="D144" s="45"/>
      <c r="E144" s="45"/>
      <c r="F144" s="45"/>
      <c r="G144" s="45"/>
      <c r="H144" s="45"/>
      <c r="I144" s="45"/>
      <c r="J144" s="45"/>
      <c r="K144" s="45"/>
      <c r="L144" s="45"/>
      <c r="M144" s="45"/>
      <c r="N144" s="45"/>
      <c r="O144" s="45"/>
      <c r="P144" s="45"/>
      <c r="Q144" s="45"/>
      <c r="R144" s="151"/>
    </row>
    <row r="145" spans="1:18">
      <c r="A145" s="50"/>
      <c r="B145" s="45"/>
      <c r="C145" s="45"/>
      <c r="D145" s="45"/>
      <c r="E145" s="45"/>
      <c r="F145" s="45"/>
      <c r="G145" s="45"/>
      <c r="H145" s="45"/>
      <c r="I145" s="45"/>
      <c r="J145" s="45"/>
      <c r="K145" s="45"/>
      <c r="L145" s="45"/>
      <c r="M145" s="45"/>
      <c r="N145" s="45"/>
      <c r="O145" s="45"/>
      <c r="P145" s="45"/>
      <c r="Q145" s="45"/>
      <c r="R145" s="151"/>
    </row>
    <row r="146" spans="1:18">
      <c r="A146" s="50"/>
      <c r="B146" s="45"/>
      <c r="C146" s="45"/>
      <c r="D146" s="45"/>
      <c r="E146" s="45"/>
      <c r="F146" s="45"/>
      <c r="G146" s="45"/>
      <c r="H146" s="45"/>
      <c r="I146" s="45"/>
      <c r="J146" s="45"/>
      <c r="K146" s="45"/>
      <c r="L146" s="45"/>
      <c r="M146" s="45"/>
      <c r="N146" s="45"/>
      <c r="O146" s="45"/>
      <c r="P146" s="45"/>
      <c r="Q146" s="45"/>
      <c r="R146" s="151"/>
    </row>
    <row r="147" spans="1:18">
      <c r="A147" s="50"/>
      <c r="B147" s="45"/>
      <c r="C147" s="45"/>
      <c r="D147" s="45"/>
      <c r="E147" s="45"/>
      <c r="F147" s="45"/>
      <c r="G147" s="45"/>
      <c r="H147" s="45"/>
      <c r="I147" s="45"/>
      <c r="J147" s="45"/>
      <c r="K147" s="45"/>
      <c r="L147" s="45"/>
      <c r="M147" s="45"/>
      <c r="N147" s="45"/>
      <c r="O147" s="45"/>
      <c r="P147" s="45"/>
      <c r="Q147" s="45"/>
      <c r="R147" s="151"/>
    </row>
    <row r="148" spans="1:18">
      <c r="A148" s="50"/>
      <c r="B148" s="45"/>
      <c r="C148" s="45"/>
      <c r="D148" s="45"/>
      <c r="E148" s="45"/>
      <c r="F148" s="45"/>
      <c r="G148" s="45"/>
      <c r="H148" s="45"/>
      <c r="I148" s="45"/>
      <c r="J148" s="45"/>
      <c r="K148" s="45"/>
      <c r="L148" s="45"/>
      <c r="M148" s="45"/>
      <c r="N148" s="45"/>
      <c r="O148" s="45"/>
      <c r="P148" s="45"/>
      <c r="Q148" s="45"/>
      <c r="R148" s="151"/>
    </row>
    <row r="149" spans="1:18">
      <c r="A149" s="50"/>
      <c r="B149" s="45"/>
      <c r="C149" s="45"/>
      <c r="D149" s="45"/>
      <c r="E149" s="45"/>
      <c r="F149" s="45"/>
      <c r="G149" s="45"/>
      <c r="H149" s="45"/>
      <c r="I149" s="45"/>
      <c r="J149" s="45"/>
      <c r="K149" s="45"/>
      <c r="L149" s="45"/>
      <c r="M149" s="45"/>
      <c r="N149" s="45"/>
      <c r="O149" s="45"/>
      <c r="P149" s="45"/>
      <c r="Q149" s="45"/>
      <c r="R149" s="151"/>
    </row>
    <row r="150" spans="1:18" ht="15" thickBot="1">
      <c r="A150" s="153"/>
      <c r="B150" s="154"/>
      <c r="C150" s="154"/>
      <c r="D150" s="154"/>
      <c r="E150" s="154"/>
      <c r="F150" s="154"/>
      <c r="G150" s="154"/>
      <c r="H150" s="154"/>
      <c r="I150" s="154"/>
      <c r="J150" s="154"/>
      <c r="K150" s="154"/>
      <c r="L150" s="154"/>
      <c r="M150" s="154"/>
      <c r="N150" s="154"/>
      <c r="O150" s="154"/>
      <c r="P150" s="154"/>
      <c r="Q150" s="154"/>
      <c r="R150" s="152"/>
    </row>
  </sheetData>
  <mergeCells count="8">
    <mergeCell ref="A2:R2"/>
    <mergeCell ref="B134:C134"/>
    <mergeCell ref="B18:C18"/>
    <mergeCell ref="B41:C41"/>
    <mergeCell ref="B54:C54"/>
    <mergeCell ref="B71:C71"/>
    <mergeCell ref="B83:C83"/>
    <mergeCell ref="B114:C11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U21"/>
  <sheetViews>
    <sheetView showGridLines="0" workbookViewId="0">
      <selection activeCell="I18" sqref="I18"/>
    </sheetView>
  </sheetViews>
  <sheetFormatPr defaultRowHeight="14.25"/>
  <cols>
    <col min="1" max="1" width="3" style="48" customWidth="1"/>
    <col min="2" max="2" width="22.625" style="48" bestFit="1" customWidth="1"/>
    <col min="3" max="5" width="9" style="48"/>
    <col min="6" max="6" width="12.375" style="48" bestFit="1" customWidth="1"/>
    <col min="7" max="9" width="9" style="48"/>
    <col min="10" max="10" width="12.375" style="48" bestFit="1" customWidth="1"/>
    <col min="11" max="13" width="9" style="48"/>
    <col min="14" max="14" width="22.5" style="48" bestFit="1" customWidth="1"/>
    <col min="15" max="17" width="9" style="48"/>
    <col min="18" max="18" width="18.5" style="48" customWidth="1"/>
    <col min="19" max="16384" width="9" style="48"/>
  </cols>
  <sheetData>
    <row r="2" spans="2:21" s="224" customFormat="1" ht="12.75">
      <c r="B2" s="223" t="s">
        <v>30</v>
      </c>
      <c r="C2" s="223" t="s">
        <v>74</v>
      </c>
      <c r="D2" s="223"/>
      <c r="E2" s="223"/>
      <c r="F2" s="223" t="s">
        <v>31</v>
      </c>
      <c r="G2" s="223" t="s">
        <v>74</v>
      </c>
      <c r="H2" s="223"/>
      <c r="I2" s="223"/>
      <c r="J2" s="223" t="s">
        <v>32</v>
      </c>
      <c r="K2" s="223" t="s">
        <v>74</v>
      </c>
      <c r="L2" s="223"/>
      <c r="M2" s="223"/>
      <c r="N2" s="223" t="s">
        <v>33</v>
      </c>
      <c r="O2" s="223" t="s">
        <v>74</v>
      </c>
      <c r="P2" s="223"/>
      <c r="Q2" s="223"/>
      <c r="R2" s="223" t="s">
        <v>34</v>
      </c>
      <c r="S2" s="223" t="s">
        <v>74</v>
      </c>
      <c r="T2" s="223"/>
      <c r="U2" s="223"/>
    </row>
    <row r="3" spans="2:21" s="224" customFormat="1" ht="12.75">
      <c r="B3" s="223"/>
      <c r="C3" s="225" t="s">
        <v>75</v>
      </c>
      <c r="D3" s="225" t="s">
        <v>76</v>
      </c>
      <c r="E3" s="225" t="s">
        <v>77</v>
      </c>
      <c r="F3" s="223" t="s">
        <v>31</v>
      </c>
      <c r="G3" s="225" t="s">
        <v>75</v>
      </c>
      <c r="H3" s="225" t="s">
        <v>76</v>
      </c>
      <c r="I3" s="225" t="s">
        <v>77</v>
      </c>
      <c r="J3" s="223" t="s">
        <v>31</v>
      </c>
      <c r="K3" s="225" t="s">
        <v>75</v>
      </c>
      <c r="L3" s="225" t="s">
        <v>76</v>
      </c>
      <c r="M3" s="225" t="s">
        <v>77</v>
      </c>
      <c r="N3" s="223"/>
      <c r="O3" s="225" t="s">
        <v>75</v>
      </c>
      <c r="P3" s="225" t="s">
        <v>76</v>
      </c>
      <c r="Q3" s="225" t="s">
        <v>77</v>
      </c>
      <c r="R3" s="223"/>
      <c r="S3" s="225" t="s">
        <v>75</v>
      </c>
      <c r="T3" s="225" t="s">
        <v>76</v>
      </c>
      <c r="U3" s="225" t="s">
        <v>77</v>
      </c>
    </row>
    <row r="4" spans="2:21" s="55" customFormat="1" ht="12.75">
      <c r="B4" s="68" t="str">
        <f>DataList!B3</f>
        <v>Functionality</v>
      </c>
      <c r="C4" s="226">
        <f>COUNTIFS('Defect list'!$E$5:$E$15000,"Open",'Defect list'!$CG$5:$CG$15000,Summary!$B4,'Defect list'!$G$5:$G$15000,"&lt;&gt;Won't Fix",'Defect list'!$G$5:$G$15000,"&lt;&gt; Duplicated")</f>
        <v>0</v>
      </c>
      <c r="D4" s="226">
        <f>COUNTIFS('Defect list'!$E$5:$E$15000,"&lt;&gt; Open",'Defect list'!$E$5:$E$15000,"&lt;&gt;Closed",'Defect list'!$CG$5:$CG$15000,Summary!$B4,'Defect list'!$G$5:$G$15000,"&lt;&gt;Won't Fix",'Defect list'!$G$5:$G$15000,"&lt;&gt; Duplicated")</f>
        <v>2</v>
      </c>
      <c r="E4" s="226">
        <f>COUNTIFS('Defect list'!$E$5:$E$15000,"Closed",'Defect list'!$CG$5:$CG$15000,Summary!$B4,'Defect list'!$G$5:$G$15000,"&lt;&gt;Won't Fix",'Defect list'!$G$5:$G$15000,"&lt;&gt; Duplicated")</f>
        <v>20</v>
      </c>
      <c r="F4" s="226" t="str">
        <f>DataList!C3</f>
        <v>Pre-release</v>
      </c>
      <c r="G4" s="226">
        <f>COUNTIFS('Defect list'!$E$5:$E$15000,"Open",'Defect list'!$CH$5:$CH$15000,Summary!$F4,'Defect list'!$G$5:$G$15000,"&lt;&gt;Won't Fix",'Defect list'!$G$5:$G$15000,"&lt;&gt; Duplicated")</f>
        <v>0</v>
      </c>
      <c r="H4" s="226">
        <f>COUNTIFS('Defect list'!$E$5:$E$15000,"&lt;&gt; Open",'Defect list'!$E$5:$E$15000,"&lt;&gt;Closed",'Defect list'!$CH$5:$CH$15000,Summary!$F4,'Defect list'!$G$5:$G$15000,"&lt;&gt;Won't Fix",'Defect list'!$G$5:$G$15000,"&lt;&gt; Duplicated")</f>
        <v>1</v>
      </c>
      <c r="I4" s="226">
        <f>COUNTIFS('Defect list'!$E$5:$E$15000,"Closed",'Defect list'!$CH$5:$CH$15000,Summary!$F4,'Defect list'!$G$5:$G$15000,"&lt;&gt;Won't Fix",'Defect list'!$G$5:$G$15000,"&lt;&gt; Duplicated")</f>
        <v>21</v>
      </c>
      <c r="J4" s="226" t="str">
        <f>DataList!D3</f>
        <v>Reviewer</v>
      </c>
      <c r="K4" s="226">
        <f>COUNTIFS('Defect list'!$E$5:$E$15000,"Open",'Defect list'!$CI$5:$CI$15000,Summary!$J4,'Defect list'!$G$5:$G$15000,"&lt;&gt;Won't Fix",'Defect list'!$G$5:$G$15000,"&lt;&gt; Duplicated")</f>
        <v>0</v>
      </c>
      <c r="L4" s="226">
        <f>COUNTIFS('Defect list'!$E$5:$E$15000,"&lt;&gt; Open",'Defect list'!$E$5:$E$15000,"&lt;&gt;Closed",'Defect list'!$CI$5:$CI$15000,Summary!$J4,'Defect list'!$G$5:$G$15000,"&lt;&gt;Won't Fix",'Defect list'!$G$5:$G$15000,"&lt;&gt; Duplicated")</f>
        <v>0</v>
      </c>
      <c r="M4" s="226">
        <f>COUNTIFS('Defect list'!$E$5:$E$15000,"Closed",'Defect list'!$CI$5:$CI$15000,Summary!$J4,'Defect list'!$G$5:$G$15000,"&lt;&gt;Won't Fix",'Defect list'!$G$5:$G$15000,"&lt;&gt; Duplicated")</f>
        <v>1</v>
      </c>
      <c r="N4" s="226" t="str">
        <f>DataList!E3</f>
        <v>CategoryDetails</v>
      </c>
      <c r="O4" s="226">
        <f>COUNTIFS('Defect list'!$E$5:$E$15000,"Open",'Defect list'!$Q$5:$Q$15000,Summary!$N4,'Defect list'!$G$5:$G$15000,"&lt;&gt;Won't Fix",'Defect list'!$G$5:$G$15000,"&lt;&gt; Duplicated")</f>
        <v>0</v>
      </c>
      <c r="P4" s="226">
        <f>COUNTIFS('Defect list'!$E$5:$E$15000,"&lt;&gt; Open",'Defect list'!$E$5:$E$15000,"&lt;&gt;Closed",'Defect list'!$Q$5:$Q$15000,Summary!$N4,'Defect list'!$G$5:$G$15000,"&lt;&gt;Won't Fix",'Defect list'!$G$5:$G$15000,"&lt;&gt; Duplicated")</f>
        <v>0</v>
      </c>
      <c r="Q4" s="226">
        <f>COUNTIFS('Defect list'!$E$5:$E$15000,"Closed",'Defect list'!$Q$5:$Q$15000,Summary!$N4,'Defect list'!$G$5:$G$15000,"&lt;&gt;Won't Fix",'Defect list'!$G$5:$G$15000,"&lt;&gt; Duplicated")</f>
        <v>1</v>
      </c>
      <c r="R4" s="226" t="str">
        <f>DataList!F3</f>
        <v>Code Error</v>
      </c>
      <c r="S4" s="226">
        <f>COUNTIFS('Defect list'!$E$5:$E$15000,"Open",'Defect list'!$BD$5:$BD$15000,Summary!$R4,'Defect list'!$G$5:$G$15000,"&lt;&gt;Won't Fix",'Defect list'!$G$5:$G$15000,"&lt;&gt; Duplicated")</f>
        <v>0</v>
      </c>
      <c r="T4" s="226">
        <f>COUNTIFS('Defect list'!$E$5:$E$15000,"&lt;&gt; Open",'Defect list'!$E$5:$E$15000,"&lt;&gt;Closed",'Defect list'!$BD$5:$BD$15000,Summary!$R4,'Defect list'!$G$5:$G$15000,"&lt;&gt;Won't Fix",'Defect list'!$G$5:$G$15000,"&lt;&gt; Duplicated")</f>
        <v>0</v>
      </c>
      <c r="U4" s="226">
        <f>COUNTIFS('Defect list'!$E$5:$E$15000,"Closed",'Defect list'!$BD$5:$BD$15000,Summary!$R4,'Defect list'!$G$5:$G$15000,"&lt;&gt;Won't Fix",'Defect list'!$G$5:$G$15000,"&lt;&gt; Duplicated")</f>
        <v>1</v>
      </c>
    </row>
    <row r="5" spans="2:21" s="55" customFormat="1" ht="12.75">
      <c r="B5" s="68" t="str">
        <f>DataList!B4</f>
        <v>Documentation</v>
      </c>
      <c r="C5" s="226">
        <f>COUNTIFS('Defect list'!$E$5:$E$15000,"Open",'Defect list'!$CG$5:$CG$15000,Summary!$B5,'Defect list'!$G$5:$G$15000,"&lt;&gt;Won't Fix",'Defect list'!$G$5:$G$15000,"&lt;&gt; Duplicated")</f>
        <v>0</v>
      </c>
      <c r="D5" s="226">
        <f>COUNTIFS('Defect list'!$E$5:$E$15000,"&lt;&gt; Open",'Defect list'!$E$5:$E$15000,"&lt;&gt;Closed",'Defect list'!$CG$5:$CG$15000,Summary!$B5,'Defect list'!$G$5:$G$15000,"&lt;&gt;Won't Fix",'Defect list'!$G$5:$G$15000,"&lt;&gt; Duplicated")</f>
        <v>0</v>
      </c>
      <c r="E5" s="226">
        <f>COUNTIFS('Defect list'!$E$5:$E$15000,"Closed",'Defect list'!$CG$5:$CG$15000,Summary!$B5,'Defect list'!$G$5:$G$15000,"&lt;&gt;Won't Fix",'Defect list'!$G$5:$G$15000,"&lt;&gt; Duplicated")</f>
        <v>0</v>
      </c>
      <c r="F5" s="226" t="str">
        <f>DataList!C4</f>
        <v>Post-release</v>
      </c>
      <c r="G5" s="226">
        <f>COUNTIFS('Defect list'!$E$5:$E$15000,"Open",'Defect list'!$CH$5:$CH$15000,Summary!$F5,'Defect list'!$G$5:$G$15000,"&lt;&gt;Won't Fix",'Defect list'!$G$5:$G$15000,"&lt;&gt; Duplicated")</f>
        <v>0</v>
      </c>
      <c r="H5" s="226">
        <f>COUNTIFS('Defect list'!$E$5:$E$15000,"&lt;&gt; Open",'Defect list'!$E$5:$E$15000,"&lt;&gt;Closed",'Defect list'!$CH$5:$CH$15000,Summary!$F5,'Defect list'!$G$5:$G$15000,"&lt;&gt;Won't Fix",'Defect list'!$G$5:$G$15000,"&lt;&gt; Duplicated")</f>
        <v>1</v>
      </c>
      <c r="I5" s="226">
        <f>COUNTIFS('Defect list'!$E$5:$E$15000,"Closed",'Defect list'!$CH$5:$CH$15000,Summary!$F5,'Defect list'!$G$5:$G$15000,"&lt;&gt;Won't Fix",'Defect list'!$G$5:$G$15000,"&lt;&gt; Duplicated")</f>
        <v>5</v>
      </c>
      <c r="J5" s="226" t="str">
        <f>DataList!D4</f>
        <v>QC</v>
      </c>
      <c r="K5" s="226">
        <f>COUNTIFS('Defect list'!$E$5:$E$15000,"Open",'Defect list'!$CI$5:$CI$15000,Summary!$J5,'Defect list'!$G$5:$G$15000,"&lt;&gt;Won't Fix",'Defect list'!$G$5:$G$15000,"&lt;&gt; Duplicated")</f>
        <v>0</v>
      </c>
      <c r="L5" s="226">
        <f>COUNTIFS('Defect list'!$E$5:$E$15000,"&lt;&gt; Open",'Defect list'!$E$5:$E$15000,"&lt;&gt;Closed",'Defect list'!$CI$5:$CI$15000,Summary!$J5,'Defect list'!$G$5:$G$15000,"&lt;&gt;Won't Fix",'Defect list'!$G$5:$G$15000,"&lt;&gt; Duplicated")</f>
        <v>1</v>
      </c>
      <c r="M5" s="226">
        <f>COUNTIFS('Defect list'!$E$5:$E$15000,"Closed",'Defect list'!$CI$5:$CI$15000,Summary!$J5,'Defect list'!$G$5:$G$15000,"&lt;&gt;Won't Fix",'Defect list'!$G$5:$G$15000,"&lt;&gt; Duplicated")</f>
        <v>20</v>
      </c>
      <c r="N5" s="226" t="str">
        <f>DataList!E4</f>
        <v>IndicatorDetails</v>
      </c>
      <c r="O5" s="226">
        <f>COUNTIFS('Defect list'!$E$5:$E$15000,"Open",'Defect list'!$Q$5:$Q$15000,Summary!$N5,'Defect list'!$G$5:$G$15000,"&lt;&gt;Won't Fix",'Defect list'!$G$5:$G$15000,"&lt;&gt; Duplicated")</f>
        <v>0</v>
      </c>
      <c r="P5" s="226">
        <f>COUNTIFS('Defect list'!$E$5:$E$15000,"&lt;&gt; Open",'Defect list'!$E$5:$E$15000,"&lt;&gt;Closed",'Defect list'!$Q$5:$Q$15000,Summary!$N5,'Defect list'!$G$5:$G$15000,"&lt;&gt;Won't Fix",'Defect list'!$G$5:$G$15000,"&lt;&gt; Duplicated")</f>
        <v>1</v>
      </c>
      <c r="Q5" s="226">
        <f>COUNTIFS('Defect list'!$E$5:$E$15000,"Closed",'Defect list'!$Q$5:$Q$15000,Summary!$N5,'Defect list'!$G$5:$G$15000,"&lt;&gt;Won't Fix",'Defect list'!$G$5:$G$15000,"&lt;&gt; Duplicated")</f>
        <v>9</v>
      </c>
      <c r="R5" s="226" t="str">
        <f>DataList!F4</f>
        <v xml:space="preserve">Requirement </v>
      </c>
      <c r="S5" s="226">
        <f>COUNTIFS('Defect list'!$E$5:$E$15000,"Open",'Defect list'!$BD$5:$BD$15000,Summary!$R5,'Defect list'!$G$5:$G$15000,"&lt;&gt;Won't Fix",'Defect list'!$G$5:$G$15000,"&lt;&gt; Duplicated")</f>
        <v>0</v>
      </c>
      <c r="T5" s="226">
        <f>COUNTIFS('Defect list'!$E$5:$E$15000,"&lt;&gt; Open",'Defect list'!$E$5:$E$15000,"&lt;&gt;Closed",'Defect list'!$BD$5:$BD$15000,Summary!$R5,'Defect list'!$G$5:$G$15000,"&lt;&gt;Won't Fix",'Defect list'!$G$5:$G$15000,"&lt;&gt; Duplicated")</f>
        <v>0</v>
      </c>
      <c r="U5" s="226">
        <f>COUNTIFS('Defect list'!$E$5:$E$15000,"Closed",'Defect list'!$BD$5:$BD$15000,Summary!$R5,'Defect list'!$G$5:$G$15000,"&lt;&gt;Won't Fix",'Defect list'!$G$5:$G$15000,"&lt;&gt; Duplicated")</f>
        <v>1</v>
      </c>
    </row>
    <row r="6" spans="2:21" s="55" customFormat="1" ht="12.75">
      <c r="B6" s="68" t="str">
        <f>DataList!B5</f>
        <v>GUI</v>
      </c>
      <c r="C6" s="226">
        <f>COUNTIFS('Defect list'!$E$5:$E$15000,"Open",'Defect list'!$CG$5:$CG$15000,Summary!$B6,'Defect list'!$G$5:$G$15000,"&lt;&gt;Won't Fix",'Defect list'!$G$5:$G$15000,"&lt;&gt; Duplicated")</f>
        <v>0</v>
      </c>
      <c r="D6" s="226">
        <f>COUNTIFS('Defect list'!$E$5:$E$15000,"&lt;&gt; Open",'Defect list'!$E$5:$E$15000,"&lt;&gt;Closed",'Defect list'!$CG$5:$CG$15000,Summary!$B6,'Defect list'!$G$5:$G$15000,"&lt;&gt;Won't Fix",'Defect list'!$G$5:$G$15000,"&lt;&gt; Duplicated")</f>
        <v>0</v>
      </c>
      <c r="E6" s="226">
        <f>COUNTIFS('Defect list'!$E$5:$E$15000,"Closed",'Defect list'!$CG$5:$CG$15000,Summary!$B6,'Defect list'!$G$5:$G$15000,"&lt;&gt;Won't Fix",'Defect list'!$G$5:$G$15000,"&lt;&gt; Duplicated")</f>
        <v>0</v>
      </c>
      <c r="F6" s="227" t="s">
        <v>78</v>
      </c>
      <c r="G6" s="226">
        <f>SUM(G4:G5)</f>
        <v>0</v>
      </c>
      <c r="H6" s="226">
        <f>SUM(H4:H5)</f>
        <v>2</v>
      </c>
      <c r="I6" s="226">
        <f>SUM(I4:I5)</f>
        <v>26</v>
      </c>
      <c r="J6" s="226" t="str">
        <f>DataList!D5</f>
        <v>Client</v>
      </c>
      <c r="K6" s="226">
        <f>COUNTIFS('Defect list'!$E$5:$E$15000,"Open",'Defect list'!$CI$5:$CI$15000,Summary!$J6,'Defect list'!$G$5:$G$15000,"&lt;&gt;Won't Fix",'Defect list'!$G$5:$G$15000,"&lt;&gt; Duplicated")</f>
        <v>0</v>
      </c>
      <c r="L6" s="226">
        <f>COUNTIFS('Defect list'!$E$5:$E$15000,"&lt;&gt; Open",'Defect list'!$E$5:$E$15000,"&lt;&gt;Closed",'Defect list'!$CI$5:$CI$15000,Summary!$J6,'Defect list'!$G$5:$G$15000,"&lt;&gt;Won't Fix",'Defect list'!$G$5:$G$15000,"&lt;&gt; Duplicated")</f>
        <v>1</v>
      </c>
      <c r="M6" s="226">
        <f>COUNTIFS('Defect list'!$E$5:$E$15000,"Closed",'Defect list'!$CI$5:$CI$15000,Summary!$J6,'Defect list'!$G$5:$G$15000,"&lt;&gt;Won't Fix",'Defect list'!$G$5:$G$15000,"&lt;&gt; Duplicated")</f>
        <v>5</v>
      </c>
      <c r="N6" s="226" t="str">
        <f>DataList!E5</f>
        <v>ListOfCategory</v>
      </c>
      <c r="O6" s="226">
        <f>COUNTIFS('Defect list'!$E$5:$E$15000,"Open",'Defect list'!$Q$5:$Q$15000,Summary!$N6,'Defect list'!$G$5:$G$15000,"&lt;&gt;Won't Fix",'Defect list'!$G$5:$G$15000,"&lt;&gt; Duplicated")</f>
        <v>0</v>
      </c>
      <c r="P6" s="226">
        <f>COUNTIFS('Defect list'!$E$5:$E$15000,"&lt;&gt; Open",'Defect list'!$E$5:$E$15000,"&lt;&gt;Closed",'Defect list'!$Q$5:$Q$15000,Summary!$N6,'Defect list'!$G$5:$G$15000,"&lt;&gt;Won't Fix",'Defect list'!$G$5:$G$15000,"&lt;&gt; Duplicated")</f>
        <v>0</v>
      </c>
      <c r="Q6" s="226">
        <f>COUNTIFS('Defect list'!$E$5:$E$15000,"Closed",'Defect list'!$Q$5:$Q$15000,Summary!$N6,'Defect list'!$G$5:$G$15000,"&lt;&gt;Won't Fix",'Defect list'!$G$5:$G$15000,"&lt;&gt; Duplicated")</f>
        <v>1</v>
      </c>
      <c r="R6" s="226" t="str">
        <f>DataList!F5</f>
        <v>Configuration Error</v>
      </c>
      <c r="S6" s="226">
        <f>COUNTIFS('Defect list'!$E$5:$E$15000,"Open",'Defect list'!$BD$5:$BD$15000,Summary!$R6,'Defect list'!$G$5:$G$15000,"&lt;&gt;Won't Fix",'Defect list'!$G$5:$G$15000,"&lt;&gt; Duplicated")</f>
        <v>0</v>
      </c>
      <c r="T6" s="226">
        <f>COUNTIFS('Defect list'!$E$5:$E$15000,"&lt;&gt; Open",'Defect list'!$E$5:$E$15000,"&lt;&gt;Closed",'Defect list'!$BD$5:$BD$15000,Summary!$R6,'Defect list'!$G$5:$G$15000,"&lt;&gt;Won't Fix",'Defect list'!$G$5:$G$15000,"&lt;&gt; Duplicated")</f>
        <v>0</v>
      </c>
      <c r="U6" s="226">
        <f>COUNTIFS('Defect list'!$E$5:$E$15000,"Closed",'Defect list'!$BD$5:$BD$15000,Summary!$R6,'Defect list'!$G$5:$G$15000,"&lt;&gt;Won't Fix",'Defect list'!$G$5:$G$15000,"&lt;&gt; Duplicated")</f>
        <v>0</v>
      </c>
    </row>
    <row r="7" spans="2:21" s="55" customFormat="1" ht="12.75">
      <c r="B7" s="68" t="str">
        <f>DataList!B6</f>
        <v>Installation</v>
      </c>
      <c r="C7" s="226">
        <f>COUNTIFS('Defect list'!$E$5:$E$15000,"Open",'Defect list'!$CG$5:$CG$15000,Summary!$B7,'Defect list'!$G$5:$G$15000,"&lt;&gt;Won't Fix",'Defect list'!$G$5:$G$15000,"&lt;&gt; Duplicated")</f>
        <v>0</v>
      </c>
      <c r="D7" s="226">
        <f>COUNTIFS('Defect list'!$E$5:$E$15000,"&lt;&gt; Open",'Defect list'!$E$5:$E$15000,"&lt;&gt;Closed",'Defect list'!$CG$5:$CG$15000,Summary!$B7,'Defect list'!$G$5:$G$15000,"&lt;&gt;Won't Fix",'Defect list'!$G$5:$G$15000,"&lt;&gt; Duplicated")</f>
        <v>0</v>
      </c>
      <c r="E7" s="226">
        <f>COUNTIFS('Defect list'!$E$5:$E$15000,"Closed",'Defect list'!$CG$5:$CG$15000,Summary!$B7,'Defect list'!$G$5:$G$15000,"&lt;&gt;Won't Fix",'Defect list'!$G$5:$G$15000,"&lt;&gt; Duplicated")</f>
        <v>0</v>
      </c>
      <c r="F7" s="227" t="s">
        <v>79</v>
      </c>
      <c r="G7" s="228">
        <f>SUM(G6:I6)</f>
        <v>28</v>
      </c>
      <c r="H7" s="228"/>
      <c r="I7" s="228"/>
      <c r="J7" s="227" t="s">
        <v>78</v>
      </c>
      <c r="K7" s="226">
        <f>SUM(K4:K6)</f>
        <v>0</v>
      </c>
      <c r="L7" s="226">
        <f>SUM(L4:L6)</f>
        <v>2</v>
      </c>
      <c r="M7" s="226">
        <f>SUM(M4:M6)</f>
        <v>26</v>
      </c>
      <c r="N7" s="226" t="str">
        <f>DataList!E6</f>
        <v>ListOfMyProjects</v>
      </c>
      <c r="O7" s="226">
        <f>COUNTIFS('Defect list'!$E$5:$E$15000,"Open",'Defect list'!$Q$5:$Q$15000,Summary!$N7,'Defect list'!$G$5:$G$15000,"&lt;&gt;Won't Fix",'Defect list'!$G$5:$G$15000,"&lt;&gt; Duplicated")</f>
        <v>0</v>
      </c>
      <c r="P7" s="226">
        <f>COUNTIFS('Defect list'!$E$5:$E$15000,"&lt;&gt; Open",'Defect list'!$E$5:$E$15000,"&lt;&gt;Closed",'Defect list'!$Q$5:$Q$15000,Summary!$N7,'Defect list'!$G$5:$G$15000,"&lt;&gt;Won't Fix",'Defect list'!$G$5:$G$15000,"&lt;&gt; Duplicated")</f>
        <v>0</v>
      </c>
      <c r="Q7" s="226">
        <f>COUNTIFS('Defect list'!$E$5:$E$15000,"Closed",'Defect list'!$Q$5:$Q$15000,Summary!$N7,'Defect list'!$G$5:$G$15000,"&lt;&gt;Won't Fix",'Defect list'!$G$5:$G$15000,"&lt;&gt; Duplicated")</f>
        <v>1</v>
      </c>
      <c r="R7" s="226" t="str">
        <f>DataList!F6</f>
        <v>Design Error</v>
      </c>
      <c r="S7" s="226">
        <f>COUNTIFS('Defect list'!$E$5:$E$15000,"Open",'Defect list'!$BD$5:$BD$15000,Summary!$R7,'Defect list'!$G$5:$G$15000,"&lt;&gt;Won't Fix",'Defect list'!$G$5:$G$15000,"&lt;&gt; Duplicated")</f>
        <v>0</v>
      </c>
      <c r="T7" s="226">
        <f>COUNTIFS('Defect list'!$E$5:$E$15000,"&lt;&gt; Open",'Defect list'!$E$5:$E$15000,"&lt;&gt;Closed",'Defect list'!$BD$5:$BD$15000,Summary!$R7,'Defect list'!$G$5:$G$15000,"&lt;&gt;Won't Fix",'Defect list'!$G$5:$G$15000,"&lt;&gt; Duplicated")</f>
        <v>0</v>
      </c>
      <c r="U7" s="226">
        <f>COUNTIFS('Defect list'!$E$5:$E$15000,"Closed",'Defect list'!$BD$5:$BD$15000,Summary!$R7,'Defect list'!$G$5:$G$15000,"&lt;&gt;Won't Fix",'Defect list'!$G$5:$G$15000,"&lt;&gt; Duplicated")</f>
        <v>0</v>
      </c>
    </row>
    <row r="8" spans="2:21" s="55" customFormat="1" ht="12.75">
      <c r="B8" s="68" t="str">
        <f>DataList!B7</f>
        <v>Performance</v>
      </c>
      <c r="C8" s="226">
        <f>COUNTIFS('Defect list'!$E$5:$E$15000,"Open",'Defect list'!$CG$5:$CG$15000,Summary!$B8,'Defect list'!$G$5:$G$15000,"&lt;&gt;Won't Fix",'Defect list'!$G$5:$G$15000,"&lt;&gt; Duplicated")</f>
        <v>0</v>
      </c>
      <c r="D8" s="226">
        <f>COUNTIFS('Defect list'!$E$5:$E$15000,"&lt;&gt; Open",'Defect list'!$E$5:$E$15000,"&lt;&gt;Closed",'Defect list'!$CG$5:$CG$15000,Summary!$B8,'Defect list'!$G$5:$G$15000,"&lt;&gt;Won't Fix",'Defect list'!$G$5:$G$15000,"&lt;&gt; Duplicated")</f>
        <v>0</v>
      </c>
      <c r="E8" s="226">
        <f>COUNTIFS('Defect list'!$E$5:$E$15000,"Closed",'Defect list'!$CG$5:$CG$15000,Summary!$B8,'Defect list'!$G$5:$G$15000,"&lt;&gt;Won't Fix",'Defect list'!$G$5:$G$15000,"&lt;&gt; Duplicated")</f>
        <v>0</v>
      </c>
      <c r="F8" s="68"/>
      <c r="G8" s="68"/>
      <c r="H8" s="68"/>
      <c r="I8" s="68"/>
      <c r="J8" s="227" t="s">
        <v>79</v>
      </c>
      <c r="K8" s="228">
        <f>SUM(K7:M7)</f>
        <v>28</v>
      </c>
      <c r="L8" s="228"/>
      <c r="M8" s="228"/>
      <c r="N8" s="226" t="str">
        <f>DataList!E7</f>
        <v>ListOfUsers</v>
      </c>
      <c r="O8" s="226">
        <f>COUNTIFS('Defect list'!$E$5:$E$15000,"Open",'Defect list'!$Q$5:$Q$15000,Summary!$N8,'Defect list'!$G$5:$G$15000,"&lt;&gt;Won't Fix",'Defect list'!$G$5:$G$15000,"&lt;&gt; Duplicated")</f>
        <v>0</v>
      </c>
      <c r="P8" s="226">
        <f>COUNTIFS('Defect list'!$E$5:$E$15000,"&lt;&gt; Open",'Defect list'!$E$5:$E$15000,"&lt;&gt;Closed",'Defect list'!$Q$5:$Q$15000,Summary!$N8,'Defect list'!$G$5:$G$15000,"&lt;&gt;Won't Fix",'Defect list'!$G$5:$G$15000,"&lt;&gt; Duplicated")</f>
        <v>0</v>
      </c>
      <c r="Q8" s="226">
        <f>COUNTIFS('Defect list'!$E$5:$E$15000,"Closed",'Defect list'!$Q$5:$Q$15000,Summary!$N8,'Defect list'!$G$5:$G$15000,"&lt;&gt;Won't Fix",'Defect list'!$G$5:$G$15000,"&lt;&gt; Duplicated")</f>
        <v>1</v>
      </c>
      <c r="R8" s="226" t="str">
        <f>DataList!F7</f>
        <v>Existing bug</v>
      </c>
      <c r="S8" s="226">
        <f>COUNTIFS('Defect list'!$E$5:$E$15000,"Open",'Defect list'!$BD$5:$BD$15000,Summary!$R8,'Defect list'!$G$5:$G$15000,"&lt;&gt;Won't Fix",'Defect list'!$G$5:$G$15000,"&lt;&gt; Duplicated")</f>
        <v>0</v>
      </c>
      <c r="T8" s="226">
        <f>COUNTIFS('Defect list'!$E$5:$E$15000,"&lt;&gt; Open",'Defect list'!$E$5:$E$15000,"&lt;&gt;Closed",'Defect list'!$BD$5:$BD$15000,Summary!$R8,'Defect list'!$G$5:$G$15000,"&lt;&gt;Won't Fix",'Defect list'!$G$5:$G$15000,"&lt;&gt; Duplicated")</f>
        <v>0</v>
      </c>
      <c r="U8" s="226">
        <f>COUNTIFS('Defect list'!$E$5:$E$15000,"Closed",'Defect list'!$BD$5:$BD$15000,Summary!$R8,'Defect list'!$G$5:$G$15000,"&lt;&gt;Won't Fix",'Defect list'!$G$5:$G$15000,"&lt;&gt; Duplicated")</f>
        <v>0</v>
      </c>
    </row>
    <row r="9" spans="2:21" s="55" customFormat="1" ht="12.75">
      <c r="B9" s="68" t="str">
        <f>DataList!B8</f>
        <v>Security</v>
      </c>
      <c r="C9" s="226">
        <f>COUNTIFS('Defect list'!$E$5:$E$15000,"Open",'Defect list'!$CG$5:$CG$15000,Summary!$B9,'Defect list'!$G$5:$G$15000,"&lt;&gt;Won't Fix",'Defect list'!$G$5:$G$15000,"&lt;&gt; Duplicated")</f>
        <v>0</v>
      </c>
      <c r="D9" s="226">
        <f>COUNTIFS('Defect list'!$E$5:$E$15000,"&lt;&gt; Open",'Defect list'!$E$5:$E$15000,"&lt;&gt;Closed",'Defect list'!$CG$5:$CG$15000,Summary!$B9,'Defect list'!$G$5:$G$15000,"&lt;&gt;Won't Fix",'Defect list'!$G$5:$G$15000,"&lt;&gt; Duplicated")</f>
        <v>0</v>
      </c>
      <c r="E9" s="226">
        <f>COUNTIFS('Defect list'!$E$5:$E$15000,"Closed",'Defect list'!$CG$5:$CG$15000,Summary!$B9,'Defect list'!$G$5:$G$15000,"&lt;&gt;Won't Fix",'Defect list'!$G$5:$G$15000,"&lt;&gt; Duplicated")</f>
        <v>0</v>
      </c>
      <c r="F9" s="68"/>
      <c r="G9" s="68"/>
      <c r="H9" s="68"/>
      <c r="I9" s="68"/>
      <c r="J9" s="68"/>
      <c r="K9" s="68"/>
      <c r="L9" s="68"/>
      <c r="M9" s="68"/>
      <c r="N9" s="226" t="str">
        <f>DataList!E8</f>
        <v>ManageMA</v>
      </c>
      <c r="O9" s="226">
        <f>COUNTIFS('Defect list'!$E$5:$E$15000,"Open",'Defect list'!$Q$5:$Q$15000,Summary!$N9,'Defect list'!$G$5:$G$15000,"&lt;&gt;Won't Fix",'Defect list'!$G$5:$G$15000,"&lt;&gt; Duplicated")</f>
        <v>0</v>
      </c>
      <c r="P9" s="226">
        <f>COUNTIFS('Defect list'!$E$5:$E$15000,"&lt;&gt; Open",'Defect list'!$E$5:$E$15000,"&lt;&gt;Closed",'Defect list'!$Q$5:$Q$15000,Summary!$N9,'Defect list'!$G$5:$G$15000,"&lt;&gt;Won't Fix",'Defect list'!$G$5:$G$15000,"&lt;&gt; Duplicated")</f>
        <v>0</v>
      </c>
      <c r="Q9" s="226">
        <f>COUNTIFS('Defect list'!$E$5:$E$15000,"Closed",'Defect list'!$Q$5:$Q$15000,Summary!$N9,'Defect list'!$G$5:$G$15000,"&lt;&gt;Won't Fix",'Defect list'!$G$5:$G$15000,"&lt;&gt; Duplicated")</f>
        <v>1</v>
      </c>
      <c r="R9" s="226" t="str">
        <f>DataList!F8</f>
        <v>Unknown</v>
      </c>
      <c r="S9" s="226">
        <f>COUNTIFS('Defect list'!$E$5:$E$15000,"Open",'Defect list'!$BD$5:$BD$15000,Summary!$R9,'Defect list'!$G$5:$G$15000,"&lt;&gt;Won't Fix",'Defect list'!$G$5:$G$15000,"&lt;&gt; Duplicated")</f>
        <v>0</v>
      </c>
      <c r="T9" s="226">
        <f>COUNTIFS('Defect list'!$E$5:$E$15000,"&lt;&gt; Open",'Defect list'!$E$5:$E$15000,"&lt;&gt;Closed",'Defect list'!$BD$5:$BD$15000,Summary!$R9,'Defect list'!$G$5:$G$15000,"&lt;&gt;Won't Fix",'Defect list'!$G$5:$G$15000,"&lt;&gt; Duplicated")</f>
        <v>2</v>
      </c>
      <c r="U9" s="226">
        <f>COUNTIFS('Defect list'!$E$5:$E$15000,"Closed",'Defect list'!$BD$5:$BD$15000,Summary!$R9,'Defect list'!$G$5:$G$15000,"&lt;&gt;Won't Fix",'Defect list'!$G$5:$G$15000,"&lt;&gt; Duplicated")</f>
        <v>23</v>
      </c>
    </row>
    <row r="10" spans="2:21" s="55" customFormat="1" ht="12.75">
      <c r="B10" s="68" t="str">
        <f>DataList!B9</f>
        <v>Usability</v>
      </c>
      <c r="C10" s="226">
        <f>COUNTIFS('Defect list'!$E$5:$E$15000,"Open",'Defect list'!$CG$5:$CG$15000,Summary!$B10,'Defect list'!$G$5:$G$15000,"&lt;&gt;Won't Fix",'Defect list'!$G$5:$G$15000,"&lt;&gt; Duplicated")</f>
        <v>0</v>
      </c>
      <c r="D10" s="226">
        <f>COUNTIFS('Defect list'!$E$5:$E$15000,"&lt;&gt; Open",'Defect list'!$E$5:$E$15000,"&lt;&gt;Closed",'Defect list'!$CG$5:$CG$15000,Summary!$B10,'Defect list'!$G$5:$G$15000,"&lt;&gt;Won't Fix",'Defect list'!$G$5:$G$15000,"&lt;&gt; Duplicated")</f>
        <v>0</v>
      </c>
      <c r="E10" s="226">
        <f>COUNTIFS('Defect list'!$E$5:$E$15000,"Closed",'Defect list'!$CG$5:$CG$15000,Summary!$B10,'Defect list'!$G$5:$G$15000,"&lt;&gt;Won't Fix",'Defect list'!$G$5:$G$15000,"&lt;&gt; Duplicated")</f>
        <v>0</v>
      </c>
      <c r="F10" s="68"/>
      <c r="G10" s="68"/>
      <c r="H10" s="68"/>
      <c r="I10" s="68"/>
      <c r="J10" s="68"/>
      <c r="K10" s="68"/>
      <c r="L10" s="68"/>
      <c r="M10" s="68"/>
      <c r="N10" s="226" t="str">
        <f>DataList!E9</f>
        <v>MAPlanDetails</v>
      </c>
      <c r="O10" s="226">
        <f>COUNTIFS('Defect list'!$E$5:$E$15000,"Open",'Defect list'!$Q$5:$Q$15000,Summary!$N10,'Defect list'!$G$5:$G$15000,"&lt;&gt;Won't Fix",'Defect list'!$G$5:$G$15000,"&lt;&gt; Duplicated")</f>
        <v>0</v>
      </c>
      <c r="P10" s="226">
        <f>COUNTIFS('Defect list'!$E$5:$E$15000,"&lt;&gt; Open",'Defect list'!$E$5:$E$15000,"&lt;&gt;Closed",'Defect list'!$Q$5:$Q$15000,Summary!$N10,'Defect list'!$G$5:$G$15000,"&lt;&gt;Won't Fix",'Defect list'!$G$5:$G$15000,"&lt;&gt; Duplicated")</f>
        <v>0</v>
      </c>
      <c r="Q10" s="226">
        <f>COUNTIFS('Defect list'!$E$5:$E$15000,"Closed",'Defect list'!$Q$5:$Q$15000,Summary!$N10,'Defect list'!$G$5:$G$15000,"&lt;&gt;Won't Fix",'Defect list'!$G$5:$G$15000,"&lt;&gt; Duplicated")</f>
        <v>2</v>
      </c>
      <c r="R10" s="227" t="s">
        <v>78</v>
      </c>
      <c r="S10" s="226">
        <f>SUM(S4:S9)</f>
        <v>0</v>
      </c>
      <c r="T10" s="226">
        <f>SUM(T4:T9)</f>
        <v>2</v>
      </c>
      <c r="U10" s="226">
        <f>SUM(U4:U9)</f>
        <v>25</v>
      </c>
    </row>
    <row r="11" spans="2:21" s="55" customFormat="1" ht="12.75">
      <c r="B11" s="68" t="str">
        <f>DataList!B10</f>
        <v>Others</v>
      </c>
      <c r="C11" s="226">
        <f>COUNTIFS('Defect list'!$E$5:$E$15000,"Open",'Defect list'!$CG$5:$CG$15000,Summary!$B11,'Defect list'!$G$5:$G$15000,"&lt;&gt;Won't Fix",'Defect list'!$G$5:$G$15000,"&lt;&gt; Duplicated")</f>
        <v>0</v>
      </c>
      <c r="D11" s="226">
        <f>COUNTIFS('Defect list'!$E$5:$E$15000,"&lt;&gt; Open",'Defect list'!$E$5:$E$15000,"&lt;&gt;Closed",'Defect list'!$CG$5:$CG$15000,Summary!$B11,'Defect list'!$G$5:$G$15000,"&lt;&gt;Won't Fix",'Defect list'!$G$5:$G$15000,"&lt;&gt; Duplicated")</f>
        <v>0</v>
      </c>
      <c r="E11" s="226">
        <f>COUNTIFS('Defect list'!$E$5:$E$15000,"Closed",'Defect list'!$CG$5:$CG$15000,Summary!$B11,'Defect list'!$G$5:$G$15000,"&lt;&gt;Won't Fix",'Defect list'!$G$5:$G$15000,"&lt;&gt; Duplicated")</f>
        <v>0</v>
      </c>
      <c r="F11" s="68"/>
      <c r="G11" s="68"/>
      <c r="H11" s="68"/>
      <c r="I11" s="68"/>
      <c r="J11" s="68"/>
      <c r="K11" s="68"/>
      <c r="L11" s="68"/>
      <c r="M11" s="68"/>
      <c r="N11" s="226" t="str">
        <f>DataList!E10</f>
        <v>MAPlanUpdate</v>
      </c>
      <c r="O11" s="226">
        <f>COUNTIFS('Defect list'!$E$5:$E$15000,"Open",'Defect list'!$Q$5:$Q$15000,Summary!$N11,'Defect list'!$G$5:$G$15000,"&lt;&gt;Won't Fix",'Defect list'!$G$5:$G$15000,"&lt;&gt; Duplicated")</f>
        <v>0</v>
      </c>
      <c r="P11" s="226">
        <f>COUNTIFS('Defect list'!$E$5:$E$15000,"&lt;&gt; Open",'Defect list'!$E$5:$E$15000,"&lt;&gt;Closed",'Defect list'!$Q$5:$Q$15000,Summary!$N11,'Defect list'!$G$5:$G$15000,"&lt;&gt;Won't Fix",'Defect list'!$G$5:$G$15000,"&lt;&gt; Duplicated")</f>
        <v>0</v>
      </c>
      <c r="Q11" s="226">
        <f>COUNTIFS('Defect list'!$E$5:$E$15000,"Closed",'Defect list'!$Q$5:$Q$15000,Summary!$N11,'Defect list'!$G$5:$G$15000,"&lt;&gt;Won't Fix",'Defect list'!$G$5:$G$15000,"&lt;&gt; Duplicated")</f>
        <v>1</v>
      </c>
      <c r="R11" s="227" t="s">
        <v>79</v>
      </c>
      <c r="S11" s="228">
        <f>SUM(S10:U10)</f>
        <v>27</v>
      </c>
      <c r="T11" s="228"/>
      <c r="U11" s="228"/>
    </row>
    <row r="12" spans="2:21" s="55" customFormat="1" ht="12.75">
      <c r="B12" s="68" t="str">
        <f>DataList!B11</f>
        <v>Architecture</v>
      </c>
      <c r="C12" s="226">
        <f>COUNTIFS('Defect list'!$E$5:$E$15000,"Open",'Defect list'!$CG$5:$CG$15000,Summary!$B12,'Defect list'!$G$5:$G$15000,"&lt;&gt;Won't Fix",'Defect list'!$G$5:$G$15000,"&lt;&gt; Duplicated")</f>
        <v>0</v>
      </c>
      <c r="D12" s="226">
        <f>COUNTIFS('Defect list'!$E$5:$E$15000,"&lt;&gt; Open",'Defect list'!$E$5:$E$15000,"&lt;&gt;Closed",'Defect list'!$CG$5:$CG$15000,Summary!$B12,'Defect list'!$G$5:$G$15000,"&lt;&gt;Won't Fix",'Defect list'!$G$5:$G$15000,"&lt;&gt; Duplicated")</f>
        <v>0</v>
      </c>
      <c r="E12" s="226">
        <f>COUNTIFS('Defect list'!$E$5:$E$15000,"Closed",'Defect list'!$CG$5:$CG$15000,Summary!$B12,'Defect list'!$G$5:$G$15000,"&lt;&gt;Won't Fix",'Defect list'!$G$5:$G$15000,"&lt;&gt; Duplicated")</f>
        <v>3</v>
      </c>
      <c r="F12" s="68"/>
      <c r="G12" s="68"/>
      <c r="H12" s="68"/>
      <c r="I12" s="68"/>
      <c r="J12" s="68"/>
      <c r="K12" s="68"/>
      <c r="L12" s="68"/>
      <c r="M12" s="68"/>
      <c r="N12" s="226" t="str">
        <f>DataList!E11</f>
        <v>MAPlanWaitingForReview</v>
      </c>
      <c r="O12" s="226">
        <f>COUNTIFS('Defect list'!$E$5:$E$15000,"Open",'Defect list'!$Q$5:$Q$15000,Summary!$N12,'Defect list'!$G$5:$G$15000,"&lt;&gt;Won't Fix",'Defect list'!$G$5:$G$15000,"&lt;&gt; Duplicated")</f>
        <v>0</v>
      </c>
      <c r="P12" s="226">
        <f>COUNTIFS('Defect list'!$E$5:$E$15000,"&lt;&gt; Open",'Defect list'!$E$5:$E$15000,"&lt;&gt;Closed",'Defect list'!$Q$5:$Q$15000,Summary!$N12,'Defect list'!$G$5:$G$15000,"&lt;&gt;Won't Fix",'Defect list'!$G$5:$G$15000,"&lt;&gt; Duplicated")</f>
        <v>0</v>
      </c>
      <c r="Q12" s="226">
        <f>COUNTIFS('Defect list'!$E$5:$E$15000,"Closed",'Defect list'!$Q$5:$Q$15000,Summary!$N12,'Defect list'!$G$5:$G$15000,"&lt;&gt;Won't Fix",'Defect list'!$G$5:$G$15000,"&lt;&gt; Duplicated")</f>
        <v>1</v>
      </c>
      <c r="R12" s="68"/>
      <c r="S12" s="68"/>
      <c r="T12" s="68"/>
      <c r="U12" s="68"/>
    </row>
    <row r="13" spans="2:21" s="55" customFormat="1" ht="12.75">
      <c r="B13" s="227" t="s">
        <v>78</v>
      </c>
      <c r="C13" s="226">
        <f>SUM(C4:C12)</f>
        <v>0</v>
      </c>
      <c r="D13" s="226">
        <f>SUM(D4:D12)</f>
        <v>2</v>
      </c>
      <c r="E13" s="226">
        <f>SUM(E4:E12)</f>
        <v>23</v>
      </c>
      <c r="F13" s="68"/>
      <c r="G13" s="68"/>
      <c r="H13" s="68"/>
      <c r="I13" s="68"/>
      <c r="J13" s="68"/>
      <c r="K13" s="68"/>
      <c r="L13" s="68"/>
      <c r="M13" s="68"/>
      <c r="N13" s="226" t="str">
        <f>DataList!E12</f>
        <v>Project Details</v>
      </c>
      <c r="O13" s="226">
        <f>COUNTIFS('Defect list'!$E$5:$E$15000,"Open",'Defect list'!$Q$5:$Q$15000,Summary!$N13,'Defect list'!$G$5:$G$15000,"&lt;&gt;Won't Fix",'Defect list'!$G$5:$G$15000,"&lt;&gt; Duplicated")</f>
        <v>0</v>
      </c>
      <c r="P13" s="226">
        <f>COUNTIFS('Defect list'!$E$5:$E$15000,"&lt;&gt; Open",'Defect list'!$E$5:$E$15000,"&lt;&gt;Closed",'Defect list'!$Q$5:$Q$15000,Summary!$N13,'Defect list'!$G$5:$G$15000,"&lt;&gt;Won't Fix",'Defect list'!$G$5:$G$15000,"&lt;&gt; Duplicated")</f>
        <v>0</v>
      </c>
      <c r="Q13" s="226">
        <f>COUNTIFS('Defect list'!$E$5:$E$15000,"Closed",'Defect list'!$Q$5:$Q$15000,Summary!$N13,'Defect list'!$G$5:$G$15000,"&lt;&gt;Won't Fix",'Defect list'!$G$5:$G$15000,"&lt;&gt; Duplicated")</f>
        <v>1</v>
      </c>
      <c r="R13" s="68"/>
      <c r="S13" s="68"/>
      <c r="T13" s="68"/>
      <c r="U13" s="68"/>
    </row>
    <row r="14" spans="2:21" s="55" customFormat="1" ht="12.75">
      <c r="B14" s="227" t="s">
        <v>79</v>
      </c>
      <c r="C14" s="229">
        <f>SUM(C13:E13)</f>
        <v>25</v>
      </c>
      <c r="D14" s="230"/>
      <c r="E14" s="231"/>
      <c r="F14" s="68"/>
      <c r="G14" s="68"/>
      <c r="H14" s="68"/>
      <c r="I14" s="68"/>
      <c r="J14" s="68"/>
      <c r="K14" s="68"/>
      <c r="L14" s="68"/>
      <c r="M14" s="68"/>
      <c r="N14" s="226" t="str">
        <f>DataList!E13</f>
        <v>Role&amp;Permission</v>
      </c>
      <c r="O14" s="226">
        <f>COUNTIFS('Defect list'!$E$5:$E$15000,"Open",'Defect list'!$Q$5:$Q$15000,Summary!$N14,'Defect list'!$G$5:$G$15000,"&lt;&gt;Won't Fix",'Defect list'!$G$5:$G$15000,"&lt;&gt; Duplicated")</f>
        <v>0</v>
      </c>
      <c r="P14" s="226">
        <f>COUNTIFS('Defect list'!$E$5:$E$15000,"&lt;&gt; Open",'Defect list'!$E$5:$E$15000,"&lt;&gt;Closed",'Defect list'!$Q$5:$Q$15000,Summary!$N14,'Defect list'!$G$5:$G$15000,"&lt;&gt;Won't Fix",'Defect list'!$G$5:$G$15000,"&lt;&gt; Duplicated")</f>
        <v>1</v>
      </c>
      <c r="Q14" s="226">
        <f>COUNTIFS('Defect list'!$E$5:$E$15000,"Closed",'Defect list'!$Q$5:$Q$15000,Summary!$N14,'Defect list'!$G$5:$G$15000,"&lt;&gt;Won't Fix",'Defect list'!$G$5:$G$15000,"&lt;&gt; Duplicated")</f>
        <v>2</v>
      </c>
      <c r="R14" s="68"/>
      <c r="S14" s="68"/>
      <c r="T14" s="68"/>
      <c r="U14" s="68"/>
    </row>
    <row r="15" spans="2:21" s="55" customFormat="1" ht="12.75">
      <c r="B15" s="68"/>
      <c r="C15" s="68"/>
      <c r="D15" s="68"/>
      <c r="E15" s="68"/>
      <c r="F15" s="68"/>
      <c r="G15" s="68"/>
      <c r="H15" s="68"/>
      <c r="I15" s="68"/>
      <c r="J15" s="68"/>
      <c r="K15" s="68"/>
      <c r="L15" s="68"/>
      <c r="M15" s="68"/>
      <c r="N15" s="226" t="str">
        <f>DataList!E14</f>
        <v>UserDetails</v>
      </c>
      <c r="O15" s="226">
        <f>COUNTIFS('Defect list'!$E$5:$E$15000,"Open",'Defect list'!$Q$5:$Q$15000,Summary!$N15,'Defect list'!$G$5:$G$15000,"&lt;&gt;Won't Fix",'Defect list'!$G$5:$G$15000,"&lt;&gt; Duplicated")</f>
        <v>0</v>
      </c>
      <c r="P15" s="226">
        <f>COUNTIFS('Defect list'!$E$5:$E$15000,"&lt;&gt; Open",'Defect list'!$E$5:$E$15000,"&lt;&gt;Closed",'Defect list'!$Q$5:$Q$15000,Summary!$N15,'Defect list'!$G$5:$G$15000,"&lt;&gt;Won't Fix",'Defect list'!$G$5:$G$15000,"&lt;&gt; Duplicated")</f>
        <v>0</v>
      </c>
      <c r="Q15" s="226">
        <f>COUNTIFS('Defect list'!$E$5:$E$15000,"Closed",'Defect list'!$Q$5:$Q$15000,Summary!$N15,'Defect list'!$G$5:$G$15000,"&lt;&gt;Won't Fix",'Defect list'!$G$5:$G$15000,"&lt;&gt; Duplicated")</f>
        <v>1</v>
      </c>
      <c r="R15" s="68"/>
      <c r="S15" s="68"/>
      <c r="T15" s="68"/>
      <c r="U15" s="68"/>
    </row>
    <row r="16" spans="2:21" s="55" customFormat="1" ht="12.75">
      <c r="B16" s="68"/>
      <c r="C16" s="68"/>
      <c r="D16" s="68"/>
      <c r="E16" s="68"/>
      <c r="F16" s="68"/>
      <c r="G16" s="68"/>
      <c r="H16" s="68"/>
      <c r="I16" s="68"/>
      <c r="J16" s="68"/>
      <c r="K16" s="68"/>
      <c r="L16" s="68"/>
      <c r="M16" s="68"/>
      <c r="N16" s="226" t="str">
        <f>DataList!E15</f>
        <v>ViewChange</v>
      </c>
      <c r="O16" s="226">
        <f>COUNTIFS('Defect list'!$E$5:$E$15000,"Open",'Defect list'!$Q$5:$Q$15000,Summary!$N16,'Defect list'!$G$5:$G$15000,"&lt;&gt;Won't Fix",'Defect list'!$G$5:$G$15000,"&lt;&gt; Duplicated")</f>
        <v>0</v>
      </c>
      <c r="P16" s="226">
        <f>COUNTIFS('Defect list'!$E$5:$E$15000,"&lt;&gt; Open",'Defect list'!$E$5:$E$15000,"&lt;&gt;Closed",'Defect list'!$Q$5:$Q$15000,Summary!$N16,'Defect list'!$G$5:$G$15000,"&lt;&gt;Won't Fix",'Defect list'!$G$5:$G$15000,"&lt;&gt; Duplicated")</f>
        <v>0</v>
      </c>
      <c r="Q16" s="226">
        <f>COUNTIFS('Defect list'!$E$5:$E$15000,"Closed",'Defect list'!$Q$5:$Q$15000,Summary!$N16,'Defect list'!$G$5:$G$15000,"&lt;&gt;Won't Fix",'Defect list'!$G$5:$G$15000,"&lt;&gt; Duplicated")</f>
        <v>1</v>
      </c>
      <c r="R16" s="68"/>
      <c r="S16" s="68"/>
      <c r="T16" s="68"/>
      <c r="U16" s="68"/>
    </row>
    <row r="17" spans="2:21" s="55" customFormat="1" ht="12.75">
      <c r="B17" s="68"/>
      <c r="C17" s="68"/>
      <c r="D17" s="68"/>
      <c r="E17" s="68"/>
      <c r="F17" s="68"/>
      <c r="G17" s="68"/>
      <c r="H17" s="68"/>
      <c r="I17" s="68"/>
      <c r="J17" s="68"/>
      <c r="K17" s="68"/>
      <c r="L17" s="68"/>
      <c r="M17" s="68"/>
      <c r="N17" s="226" t="str">
        <f>DataList!E16</f>
        <v>ViewChanges</v>
      </c>
      <c r="O17" s="226">
        <f>COUNTIFS('Defect list'!$E$5:$E$15000,"Open",'Defect list'!$Q$5:$Q$15000,Summary!$N17,'Defect list'!$G$5:$G$15000,"&lt;&gt;Won't Fix",'Defect list'!$G$5:$G$15000,"&lt;&gt; Duplicated")</f>
        <v>0</v>
      </c>
      <c r="P17" s="226">
        <f>COUNTIFS('Defect list'!$E$5:$E$15000,"&lt;&gt; Open",'Defect list'!$E$5:$E$15000,"&lt;&gt;Closed",'Defect list'!$Q$5:$Q$15000,Summary!$N17,'Defect list'!$G$5:$G$15000,"&lt;&gt;Won't Fix",'Defect list'!$G$5:$G$15000,"&lt;&gt; Duplicated")</f>
        <v>0</v>
      </c>
      <c r="Q17" s="226">
        <f>COUNTIFS('Defect list'!$E$5:$E$15000,"Closed",'Defect list'!$Q$5:$Q$15000,Summary!$N17,'Defect list'!$G$5:$G$15000,"&lt;&gt;Won't Fix",'Defect list'!$G$5:$G$15000,"&lt;&gt; Duplicated")</f>
        <v>1</v>
      </c>
      <c r="R17" s="68"/>
      <c r="S17" s="68"/>
      <c r="T17" s="68"/>
      <c r="U17" s="68"/>
    </row>
    <row r="18" spans="2:21" s="55" customFormat="1" ht="12.75">
      <c r="B18" s="68"/>
      <c r="C18" s="68"/>
      <c r="D18" s="68"/>
      <c r="E18" s="68"/>
      <c r="F18" s="68"/>
      <c r="G18" s="68"/>
      <c r="H18" s="68"/>
      <c r="I18" s="68"/>
      <c r="J18" s="68"/>
      <c r="K18" s="68"/>
      <c r="L18" s="68"/>
      <c r="M18" s="68"/>
      <c r="N18" s="226" t="str">
        <f>DataList!E17</f>
        <v>ViewMAPlan</v>
      </c>
      <c r="O18" s="226">
        <f>COUNTIFS('Defect list'!$E$5:$E$15000,"Open",'Defect list'!$Q$5:$Q$15000,Summary!$N18,'Defect list'!$G$5:$G$15000,"&lt;&gt;Won't Fix",'Defect list'!$G$5:$G$15000,"&lt;&gt; Duplicated")</f>
        <v>0</v>
      </c>
      <c r="P18" s="226">
        <f>COUNTIFS('Defect list'!$E$5:$E$15000,"&lt;&gt; Open",'Defect list'!$E$5:$E$15000,"&lt;&gt;Closed",'Defect list'!$Q$5:$Q$15000,Summary!$N18,'Defect list'!$G$5:$G$15000,"&lt;&gt;Won't Fix",'Defect list'!$G$5:$G$15000,"&lt;&gt; Duplicated")</f>
        <v>0</v>
      </c>
      <c r="Q18" s="226">
        <f>COUNTIFS('Defect list'!$E$5:$E$15000,"Closed",'Defect list'!$Q$5:$Q$15000,Summary!$N18,'Defect list'!$G$5:$G$15000,"&lt;&gt;Won't Fix",'Defect list'!$G$5:$G$15000,"&lt;&gt; Duplicated")</f>
        <v>1</v>
      </c>
      <c r="R18" s="68"/>
      <c r="S18" s="68"/>
      <c r="T18" s="68"/>
      <c r="U18" s="68"/>
    </row>
    <row r="19" spans="2:21" s="55" customFormat="1" ht="12.75">
      <c r="B19" s="68"/>
      <c r="C19" s="68"/>
      <c r="D19" s="68"/>
      <c r="E19" s="68"/>
      <c r="F19" s="68"/>
      <c r="G19" s="68"/>
      <c r="H19" s="68"/>
      <c r="I19" s="68"/>
      <c r="J19" s="68"/>
      <c r="K19" s="68"/>
      <c r="L19" s="68"/>
      <c r="M19" s="68"/>
      <c r="N19" s="226" t="str">
        <f>DataList!E18</f>
        <v>WaitingForApproveMAPlan</v>
      </c>
      <c r="O19" s="226">
        <f>COUNTIFS('Defect list'!$E$5:$E$15000,"Open",'Defect list'!$Q$5:$Q$15000,Summary!$N19,'Defect list'!$G$5:$G$15000,"&lt;&gt;Won't Fix",'Defect list'!$G$5:$G$15000,"&lt;&gt; Duplicated")</f>
        <v>0</v>
      </c>
      <c r="P19" s="226">
        <f>COUNTIFS('Defect list'!$E$5:$E$15000,"&lt;&gt; Open",'Defect list'!$E$5:$E$15000,"&lt;&gt;Closed",'Defect list'!$Q$5:$Q$15000,Summary!$N19,'Defect list'!$G$5:$G$15000,"&lt;&gt;Won't Fix",'Defect list'!$G$5:$G$15000,"&lt;&gt; Duplicated")</f>
        <v>0</v>
      </c>
      <c r="Q19" s="226">
        <f>COUNTIFS('Defect list'!$E$5:$E$15000,"Closed",'Defect list'!$Q$5:$Q$15000,Summary!$N19,'Defect list'!$G$5:$G$15000,"&lt;&gt;Won't Fix",'Defect list'!$G$5:$G$15000,"&lt;&gt; Duplicated")</f>
        <v>1</v>
      </c>
      <c r="R19" s="68"/>
      <c r="S19" s="68"/>
      <c r="T19" s="68"/>
      <c r="U19" s="68"/>
    </row>
    <row r="20" spans="2:21" s="55" customFormat="1" ht="12.75">
      <c r="B20" s="68"/>
      <c r="C20" s="68"/>
      <c r="D20" s="68"/>
      <c r="E20" s="68"/>
      <c r="F20" s="68"/>
      <c r="G20" s="68"/>
      <c r="H20" s="68"/>
      <c r="I20" s="68"/>
      <c r="J20" s="68"/>
      <c r="K20" s="68"/>
      <c r="L20" s="68"/>
      <c r="M20" s="68"/>
      <c r="N20" s="227" t="s">
        <v>78</v>
      </c>
      <c r="O20" s="226">
        <f>SUM(O4:O19)</f>
        <v>0</v>
      </c>
      <c r="P20" s="226">
        <f>COUNTIFS('Defect list'!$E$5:$E$15000,"&lt;&gt; Open",'Defect list'!$E$5:$E$15000,"&lt;&gt;Closed",'Defect list'!$Q$5:$Q$15000,Summary!$N20,'Defect list'!$G$5:$G$15000,"&lt;&gt;Won't Fix",'Defect list'!$G$5:$G$15000,"&lt;&gt; Duplicated")</f>
        <v>0</v>
      </c>
      <c r="Q20" s="226">
        <f>SUM(Q4:Q19)</f>
        <v>26</v>
      </c>
      <c r="R20" s="68"/>
      <c r="S20" s="68"/>
      <c r="T20" s="68"/>
      <c r="U20" s="68"/>
    </row>
    <row r="21" spans="2:21" s="55" customFormat="1" ht="12.75">
      <c r="B21" s="68"/>
      <c r="C21" s="68"/>
      <c r="D21" s="68"/>
      <c r="E21" s="68"/>
      <c r="F21" s="68"/>
      <c r="G21" s="68"/>
      <c r="H21" s="68"/>
      <c r="I21" s="68"/>
      <c r="J21" s="68"/>
      <c r="K21" s="68"/>
      <c r="L21" s="68"/>
      <c r="M21" s="68"/>
      <c r="N21" s="227" t="s">
        <v>79</v>
      </c>
      <c r="O21" s="228">
        <f>SUM(O20:Q20)</f>
        <v>26</v>
      </c>
      <c r="P21" s="228"/>
      <c r="Q21" s="228"/>
      <c r="R21" s="68"/>
      <c r="S21" s="68"/>
      <c r="T21" s="68"/>
      <c r="U21" s="68"/>
    </row>
  </sheetData>
  <mergeCells count="15">
    <mergeCell ref="S11:U11"/>
    <mergeCell ref="C14:E14"/>
    <mergeCell ref="O21:Q21"/>
    <mergeCell ref="N2:N3"/>
    <mergeCell ref="O2:Q2"/>
    <mergeCell ref="R2:R3"/>
    <mergeCell ref="S2:U2"/>
    <mergeCell ref="G7:I7"/>
    <mergeCell ref="K8:M8"/>
    <mergeCell ref="K2:M2"/>
    <mergeCell ref="B2:B3"/>
    <mergeCell ref="C2:E2"/>
    <mergeCell ref="F2:F3"/>
    <mergeCell ref="G2:I2"/>
    <mergeCell ref="J2:J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G18"/>
  <sheetViews>
    <sheetView showGridLines="0" workbookViewId="0">
      <selection activeCell="F11" sqref="F11"/>
    </sheetView>
  </sheetViews>
  <sheetFormatPr defaultRowHeight="17.25" customHeight="1"/>
  <cols>
    <col min="1" max="1" width="2.875" style="31" customWidth="1"/>
    <col min="2" max="2" width="22.625" style="31" bestFit="1" customWidth="1"/>
    <col min="3" max="3" width="12.375" style="31" bestFit="1" customWidth="1"/>
    <col min="4" max="4" width="10.25" style="31" bestFit="1" customWidth="1"/>
    <col min="5" max="5" width="22.5" style="31" bestFit="1" customWidth="1"/>
    <col min="6" max="6" width="25" style="31" customWidth="1"/>
    <col min="7" max="7" width="49.375" style="34" customWidth="1"/>
    <col min="8" max="16384" width="9" style="31"/>
  </cols>
  <sheetData>
    <row r="2" spans="2:7" ht="17.25" customHeight="1">
      <c r="B2" s="232" t="s">
        <v>30</v>
      </c>
      <c r="C2" s="232" t="s">
        <v>31</v>
      </c>
      <c r="D2" s="232" t="s">
        <v>32</v>
      </c>
      <c r="E2" s="232" t="s">
        <v>33</v>
      </c>
      <c r="F2" s="232" t="s">
        <v>34</v>
      </c>
      <c r="G2" s="232" t="s">
        <v>35</v>
      </c>
    </row>
    <row r="3" spans="2:7" ht="25.5">
      <c r="B3" s="56" t="s">
        <v>36</v>
      </c>
      <c r="C3" s="57" t="s">
        <v>37</v>
      </c>
      <c r="D3" s="57" t="s">
        <v>38</v>
      </c>
      <c r="E3" s="56" t="s">
        <v>39</v>
      </c>
      <c r="F3" s="56" t="s">
        <v>40</v>
      </c>
      <c r="G3" s="58" t="s">
        <v>41</v>
      </c>
    </row>
    <row r="4" spans="2:7" ht="89.25">
      <c r="B4" s="56" t="s">
        <v>444</v>
      </c>
      <c r="C4" s="57" t="s">
        <v>42</v>
      </c>
      <c r="D4" s="57" t="s">
        <v>43</v>
      </c>
      <c r="E4" s="56" t="s">
        <v>44</v>
      </c>
      <c r="F4" s="56" t="s">
        <v>45</v>
      </c>
      <c r="G4" s="58" t="s">
        <v>46</v>
      </c>
    </row>
    <row r="5" spans="2:7" ht="25.5">
      <c r="B5" s="56" t="s">
        <v>439</v>
      </c>
      <c r="C5" s="57"/>
      <c r="D5" s="57" t="s">
        <v>48</v>
      </c>
      <c r="E5" s="56" t="s">
        <v>49</v>
      </c>
      <c r="F5" s="56" t="s">
        <v>50</v>
      </c>
      <c r="G5" s="58" t="s">
        <v>51</v>
      </c>
    </row>
    <row r="6" spans="2:7" ht="25.5">
      <c r="B6" s="56" t="s">
        <v>443</v>
      </c>
      <c r="C6" s="57"/>
      <c r="D6" s="57"/>
      <c r="E6" s="56" t="s">
        <v>52</v>
      </c>
      <c r="F6" s="56" t="s">
        <v>53</v>
      </c>
      <c r="G6" s="59" t="s">
        <v>54</v>
      </c>
    </row>
    <row r="7" spans="2:7" ht="25.5">
      <c r="B7" s="56" t="s">
        <v>440</v>
      </c>
      <c r="C7" s="57"/>
      <c r="D7" s="57"/>
      <c r="E7" s="57" t="s">
        <v>55</v>
      </c>
      <c r="F7" s="56" t="s">
        <v>56</v>
      </c>
      <c r="G7" s="59" t="s">
        <v>57</v>
      </c>
    </row>
    <row r="8" spans="2:7" ht="12.75">
      <c r="B8" s="56" t="s">
        <v>441</v>
      </c>
      <c r="C8" s="57"/>
      <c r="D8" s="57"/>
      <c r="E8" s="57" t="s">
        <v>58</v>
      </c>
      <c r="F8" s="56" t="s">
        <v>59</v>
      </c>
      <c r="G8" s="59" t="s">
        <v>60</v>
      </c>
    </row>
    <row r="9" spans="2:7" ht="12.75">
      <c r="B9" s="56" t="s">
        <v>442</v>
      </c>
      <c r="C9" s="57"/>
      <c r="D9" s="57"/>
      <c r="E9" s="57" t="s">
        <v>62</v>
      </c>
      <c r="F9" s="57"/>
      <c r="G9" s="59"/>
    </row>
    <row r="10" spans="2:7" ht="12.75">
      <c r="B10" s="56" t="s">
        <v>63</v>
      </c>
      <c r="C10" s="57"/>
      <c r="D10" s="57"/>
      <c r="E10" s="57" t="s">
        <v>64</v>
      </c>
      <c r="F10" s="57"/>
      <c r="G10" s="59"/>
    </row>
    <row r="11" spans="2:7" ht="12.75">
      <c r="B11" s="56" t="s">
        <v>65</v>
      </c>
      <c r="C11" s="57"/>
      <c r="D11" s="57"/>
      <c r="E11" s="57" t="s">
        <v>66</v>
      </c>
      <c r="F11" s="57"/>
      <c r="G11" s="59"/>
    </row>
    <row r="12" spans="2:7" ht="12.75">
      <c r="B12" s="57"/>
      <c r="C12" s="57"/>
      <c r="D12" s="57"/>
      <c r="E12" s="57" t="s">
        <v>67</v>
      </c>
      <c r="F12" s="57"/>
      <c r="G12" s="59"/>
    </row>
    <row r="13" spans="2:7" ht="17.25" customHeight="1">
      <c r="B13" s="57"/>
      <c r="C13" s="57"/>
      <c r="D13" s="57"/>
      <c r="E13" s="57" t="s">
        <v>68</v>
      </c>
      <c r="F13" s="57"/>
      <c r="G13" s="59"/>
    </row>
    <row r="14" spans="2:7" ht="17.25" customHeight="1">
      <c r="B14" s="57"/>
      <c r="C14" s="57"/>
      <c r="D14" s="57"/>
      <c r="E14" s="57" t="s">
        <v>69</v>
      </c>
      <c r="F14" s="57"/>
      <c r="G14" s="59"/>
    </row>
    <row r="15" spans="2:7" ht="17.25" customHeight="1">
      <c r="B15" s="57"/>
      <c r="C15" s="57"/>
      <c r="D15" s="57"/>
      <c r="E15" s="57" t="s">
        <v>70</v>
      </c>
      <c r="F15" s="57"/>
      <c r="G15" s="59"/>
    </row>
    <row r="16" spans="2:7" ht="17.25" customHeight="1">
      <c r="B16" s="57"/>
      <c r="C16" s="57"/>
      <c r="D16" s="57"/>
      <c r="E16" s="57" t="s">
        <v>71</v>
      </c>
      <c r="F16" s="57"/>
      <c r="G16" s="59"/>
    </row>
    <row r="17" spans="2:7" ht="17.25" customHeight="1">
      <c r="B17" s="57"/>
      <c r="C17" s="57"/>
      <c r="D17" s="57"/>
      <c r="E17" s="57" t="s">
        <v>72</v>
      </c>
      <c r="F17" s="57"/>
      <c r="G17" s="57"/>
    </row>
    <row r="18" spans="2:7" ht="17.25" customHeight="1">
      <c r="B18" s="57"/>
      <c r="C18" s="57"/>
      <c r="D18" s="57"/>
      <c r="E18" s="57" t="s">
        <v>73</v>
      </c>
      <c r="F18" s="57"/>
      <c r="G18" s="57"/>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age" ma:contentTypeID="0x010100C568DB52D9D0A14D9B2FDCC96666E9F2007948130EC3DB064584E219954237AF3900EFF1EC5D0BC67D47851D3C42B9B0B7B1" ma:contentTypeVersion="1" ma:contentTypeDescription="Page is a system content type template created by the Publishing Resources feature. The column templates from Page will be added to all Pages libraries created by the Publishing feature." ma:contentTypeScope="" ma:versionID="69e7725d7f21626137891130ddd383d2">
  <xsd:schema xmlns:xsd="http://www.w3.org/2001/XMLSchema" xmlns:xs="http://www.w3.org/2001/XMLSchema" xmlns:p="http://schemas.microsoft.com/office/2006/metadata/properties" xmlns:ns1="http://schemas.microsoft.com/sharepoint/v3" targetNamespace="http://schemas.microsoft.com/office/2006/metadata/properties" ma:root="true" ma:fieldsID="0ae9f5723b20835a7f264595426a6ea3" ns1:_="">
    <xsd:import namespace="http://schemas.microsoft.com/sharepoint/v3"/>
    <xsd:element name="properties">
      <xsd:complexType>
        <xsd:sequence>
          <xsd:element name="documentManagement">
            <xsd:complexType>
              <xsd:all>
                <xsd:element ref="ns1:Comments" minOccurs="0"/>
                <xsd:element ref="ns1:PublishingStartDate" minOccurs="0"/>
                <xsd:element ref="ns1:PublishingExpirationDate" minOccurs="0"/>
                <xsd:element ref="ns1:PublishingContact" minOccurs="0"/>
                <xsd:element ref="ns1:PublishingContactEmail" minOccurs="0"/>
                <xsd:element ref="ns1:PublishingContactName" minOccurs="0"/>
                <xsd:element ref="ns1:PublishingContactPicture" minOccurs="0"/>
                <xsd:element ref="ns1:PublishingPageLayout" minOccurs="0"/>
                <xsd:element ref="ns1:PublishingVariationGroupID" minOccurs="0"/>
                <xsd:element ref="ns1:PublishingVariationRelationshipLinkFieldID" minOccurs="0"/>
                <xsd:element ref="ns1:PublishingRollupImage" minOccurs="0"/>
                <xsd:element ref="ns1:Audien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omments" ma:index="8" nillable="true" ma:displayName="Comments" ma:internalName="Comments">
      <xsd:simpleType>
        <xsd:restriction base="dms:Note">
          <xsd:maxLength value="255"/>
        </xsd:restriction>
      </xsd:simpleType>
    </xsd:element>
    <xsd:element name="PublishingStartDate" ma:index="9" nillable="true" ma:displayName="Scheduling Start Date" ma:description="" ma:hidden="true" ma:internalName="PublishingStartDate">
      <xsd:simpleType>
        <xsd:restriction base="dms:Unknown"/>
      </xsd:simpleType>
    </xsd:element>
    <xsd:element name="PublishingExpirationDate" ma:index="10" nillable="true" ma:displayName="Scheduling End Date" ma:description="" ma:hidden="true" ma:internalName="PublishingExpirationDate">
      <xsd:simpleType>
        <xsd:restriction base="dms:Unknown"/>
      </xsd:simpleType>
    </xsd:element>
    <xsd:element name="PublishingContact" ma:index="11" nillable="true" ma:displayName="Contact" ma:list="UserInfo" ma:internalName="PublishingContact">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lishingContactEmail" ma:index="12" nillable="true" ma:displayName="Contact E-Mail Address" ma:internalName="PublishingContactEmail">
      <xsd:simpleType>
        <xsd:restriction base="dms:Text">
          <xsd:maxLength value="255"/>
        </xsd:restriction>
      </xsd:simpleType>
    </xsd:element>
    <xsd:element name="PublishingContactName" ma:index="13" nillable="true" ma:displayName="Contact Name" ma:internalName="PublishingContactName">
      <xsd:simpleType>
        <xsd:restriction base="dms:Text">
          <xsd:maxLength value="255"/>
        </xsd:restriction>
      </xsd:simpleType>
    </xsd:element>
    <xsd:element name="PublishingContactPicture" ma:index="14" nillable="true" ma:displayName="Contact Picture" ma:format="Image" ma:internalName="PublishingContactPicture">
      <xsd:complexType>
        <xsd:complexContent>
          <xsd:extension base="dms:URL">
            <xsd:sequence>
              <xsd:element name="Url" type="dms:ValidUrl" minOccurs="0" nillable="true"/>
              <xsd:element name="Description" type="xsd:string" nillable="true"/>
            </xsd:sequence>
          </xsd:extension>
        </xsd:complexContent>
      </xsd:complexType>
    </xsd:element>
    <xsd:element name="PublishingPageLayout" ma:index="15" nillable="true" ma:displayName="Page Layout" ma:internalName="PublishingPageLayout"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PublishingVariationGroupID" ma:index="16" nillable="true" ma:displayName="Variation Group ID" ma:hidden="true" ma:internalName="PublishingVariationGroupID">
      <xsd:simpleType>
        <xsd:restriction base="dms:Text">
          <xsd:maxLength value="255"/>
        </xsd:restriction>
      </xsd:simpleType>
    </xsd:element>
    <xsd:element name="PublishingVariationRelationshipLinkFieldID" ma:index="17" nillable="true" ma:displayName="Variation Relationship Link" ma:hidden="true" ma:internalName="PublishingVariationRelationshipLinkFieldID">
      <xsd:complexType>
        <xsd:complexContent>
          <xsd:extension base="dms:URL">
            <xsd:sequence>
              <xsd:element name="Url" type="dms:ValidUrl" minOccurs="0" nillable="true"/>
              <xsd:element name="Description" type="xsd:string" nillable="true"/>
            </xsd:sequence>
          </xsd:extension>
        </xsd:complexContent>
      </xsd:complexType>
    </xsd:element>
    <xsd:element name="PublishingRollupImage" ma:index="18" nillable="true" ma:displayName="Rollup Image" ma:internalName="PublishingRollupImage">
      <xsd:simpleType>
        <xsd:restriction base="dms:Unknown"/>
      </xsd:simpleType>
    </xsd:element>
    <xsd:element name="Audience" ma:index="19" nillable="true" ma:displayName="Target Audiences" ma:description="" ma:internalName="Audienc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ublishingRollupImage xmlns="http://schemas.microsoft.com/sharepoint/v3" xsi:nil="true"/>
    <PublishingContactEmail xmlns="http://schemas.microsoft.com/sharepoint/v3" xsi:nil="true"/>
    <PublishingVariationRelationshipLinkFieldID xmlns="http://schemas.microsoft.com/sharepoint/v3">
      <Url xsi:nil="true"/>
      <Description xsi:nil="true"/>
    </PublishingVariationRelationshipLinkFieldID>
    <PublishingVariationGroupID xmlns="http://schemas.microsoft.com/sharepoint/v3" xsi:nil="true"/>
    <Audience xmlns="http://schemas.microsoft.com/sharepoint/v3" xsi:nil="true"/>
    <PublishingExpirationDate xmlns="http://schemas.microsoft.com/sharepoint/v3" xsi:nil="true"/>
    <PublishingContactPicture xmlns="http://schemas.microsoft.com/sharepoint/v3">
      <Url xsi:nil="true"/>
      <Description xsi:nil="true"/>
    </PublishingContactPicture>
    <PublishingStartDate xmlns="http://schemas.microsoft.com/sharepoint/v3" xsi:nil="true"/>
    <PublishingContact xmlns="http://schemas.microsoft.com/sharepoint/v3">
      <UserInfo>
        <DisplayName/>
        <AccountId xsi:nil="true"/>
        <AccountType/>
      </UserInfo>
    </PublishingContact>
    <PublishingContactName xmlns="http://schemas.microsoft.com/sharepoint/v3" xsi:nil="true"/>
    <Comment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E13F482-77F3-4EC4-B1F7-FD6D19CF0E04}"/>
</file>

<file path=customXml/itemProps2.xml><?xml version="1.0" encoding="utf-8"?>
<ds:datastoreItem xmlns:ds="http://schemas.openxmlformats.org/officeDocument/2006/customXml" ds:itemID="{06E3E4FA-795A-4742-A021-9CDC3210C50B}"/>
</file>

<file path=customXml/itemProps3.xml><?xml version="1.0" encoding="utf-8"?>
<ds:datastoreItem xmlns:ds="http://schemas.openxmlformats.org/officeDocument/2006/customXml" ds:itemID="{4F8C6C6D-E626-49D4-9BA8-E27B2B9C919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Record of Change</vt:lpstr>
      <vt:lpstr>Introduction</vt:lpstr>
      <vt:lpstr>Defect list</vt:lpstr>
      <vt:lpstr>Test report</vt:lpstr>
      <vt:lpstr>Defect Analysis Report</vt:lpstr>
      <vt:lpstr>Summary</vt:lpstr>
      <vt:lpstr>DataList</vt:lpstr>
    </vt:vector>
  </TitlesOfParts>
  <Company>NashTech</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HNVN_SD_008_13_Template_Test_Report</dc:subject>
  <dc:creator>nhan.nguyen@nashtechglobal.com</dc:creator>
  <cp:lastModifiedBy>Ngoc Nguyen Thuy Thanh</cp:lastModifiedBy>
  <cp:lastPrinted>2016-09-28T08:25:42Z</cp:lastPrinted>
  <dcterms:created xsi:type="dcterms:W3CDTF">2016-08-15T09:08:57Z</dcterms:created>
  <dcterms:modified xsi:type="dcterms:W3CDTF">2017-02-21T08:03:08Z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0x010100C568DB52D9D0A14D9B2FDCC96666E9F2007948130EC3DB064584E219954237AF3900EFF1EC5D0BC67D47851D3C42B9B0B7B1</vt:lpwstr>
  </property>
</Properties>
</file>